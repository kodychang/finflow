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説明" sheetId="1" state="visible" r:id="rId3"/>
    <sheet name="前提条件" sheetId="2" state="visible" r:id="rId4"/>
    <sheet name="単位経済" sheetId="3" state="visible" r:id="rId5"/>
    <sheet name="月次予測" sheetId="4" state="visible" r:id="rId6"/>
    <sheet name="損益分岐点" sheetId="5" state="visible" r:id="rId7"/>
    <sheet name="競合比較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<sst xmlns="http://schemas.openxmlformats.org/spreadsheetml/2006/main" count="296" uniqueCount="282">
  <si>
    <r>
      <rPr>
        <b val="true"/>
        <sz val="14"/>
        <rFont val="Arial"/>
        <family val="0"/>
        <charset val="1"/>
      </rPr>
      <t xml:space="preserve">Kanade — </t>
    </r>
    <r>
      <rPr>
        <b val="true"/>
        <sz val="14"/>
        <rFont val="WenQuanYi Zen Hei"/>
        <family val="2"/>
      </rPr>
      <t xml:space="preserve">日本市場 財務モデル</t>
    </r>
  </si>
  <si>
    <r>
      <rPr>
        <i val="true"/>
        <sz val="10"/>
        <color rgb="FF666666"/>
        <rFont val="Arial"/>
        <family val="0"/>
        <charset val="1"/>
      </rPr>
      <t xml:space="preserve">AI </t>
    </r>
    <r>
      <rPr>
        <i val="true"/>
        <sz val="10"/>
        <color rgb="FF666666"/>
        <rFont val="WenQuanYi Zen Hei"/>
        <family val="2"/>
      </rPr>
      <t xml:space="preserve">音楽 </t>
    </r>
    <r>
      <rPr>
        <i val="true"/>
        <sz val="10"/>
        <color rgb="FF666666"/>
        <rFont val="Arial"/>
        <family val="0"/>
        <charset val="1"/>
      </rPr>
      <t xml:space="preserve">× </t>
    </r>
    <r>
      <rPr>
        <i val="true"/>
        <sz val="10"/>
        <color rgb="FF666666"/>
        <rFont val="WenQuanYi Zen Hei"/>
        <family val="2"/>
      </rPr>
      <t xml:space="preserve">店舗向け </t>
    </r>
    <r>
      <rPr>
        <i val="true"/>
        <sz val="10"/>
        <color rgb="FF666666"/>
        <rFont val="Arial"/>
        <family val="0"/>
        <charset val="1"/>
      </rPr>
      <t xml:space="preserve">BGM </t>
    </r>
    <r>
      <rPr>
        <i val="true"/>
        <sz val="10"/>
        <color rgb="FF666666"/>
        <rFont val="WenQuanYi Zen Hei"/>
        <family val="2"/>
      </rPr>
      <t xml:space="preserve">サブスクリプション事業の収益シミュレーション</t>
    </r>
  </si>
  <si>
    <t xml:space="preserve">使い方</t>
  </si>
  <si>
    <t xml:space="preserve">編集するのはここだけ</t>
  </si>
  <si>
    <t xml:space="preserve">「前提条件」シートの青字セル（黄色背景）のみ。他はすべて数式で自動計算される。</t>
  </si>
  <si>
    <t xml:space="preserve">結果を見る場所</t>
  </si>
  <si>
    <r>
      <rPr>
        <sz val="10"/>
        <rFont val="WenQuanYi Zen Hei"/>
        <family val="2"/>
      </rPr>
      <t xml:space="preserve">「単位経済」</t>
    </r>
    <r>
      <rPr>
        <sz val="10"/>
        <rFont val="Arial"/>
        <family val="0"/>
        <charset val="1"/>
      </rPr>
      <t xml:space="preserve">= 1 </t>
    </r>
    <r>
      <rPr>
        <sz val="10"/>
        <rFont val="WenQuanYi Zen Hei"/>
        <family val="2"/>
      </rPr>
      <t xml:space="preserve">店舗あたりの採算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「損益分岐点」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何店舗で黒字化するか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「月次予測」</t>
    </r>
    <r>
      <rPr>
        <sz val="10"/>
        <rFont val="Arial"/>
        <family val="0"/>
        <charset val="1"/>
      </rPr>
      <t xml:space="preserve">= 36</t>
    </r>
    <r>
      <rPr>
        <sz val="10"/>
        <rFont val="WenQuanYi Zen Hei"/>
        <family val="2"/>
      </rPr>
      <t xml:space="preserve">ヶ月の推移</t>
    </r>
  </si>
  <si>
    <t xml:space="preserve">色の意味</t>
  </si>
  <si>
    <r>
      <rPr>
        <sz val="10"/>
        <rFont val="WenQuanYi Zen Hei"/>
        <family val="2"/>
      </rPr>
      <t xml:space="preserve">青字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手入力の前提値 ・ 黒字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数式 ・ 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他シート参照</t>
    </r>
  </si>
  <si>
    <t xml:space="preserve">通貨</t>
  </si>
  <si>
    <t xml:space="preserve">すべて日本円。インフラ費のみ米ドル建てを為替レートで換算。</t>
  </si>
  <si>
    <t xml:space="preserve">シート構成</t>
  </si>
  <si>
    <t xml:space="preserve">前提条件</t>
  </si>
  <si>
    <t xml:space="preserve">全パラメータ。ここを変えるとモデル全体が再計算される。</t>
  </si>
  <si>
    <t xml:space="preserve">単位経済</t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</si>
  <si>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店舗あたりの月次貢献利益、</t>
    </r>
    <r>
      <rPr>
        <sz val="10"/>
        <rFont val="Arial"/>
        <family val="0"/>
        <charset val="1"/>
      </rPr>
      <t xml:space="preserve">LTV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CAC </t>
    </r>
    <r>
      <rPr>
        <sz val="10"/>
        <rFont val="WenQuanYi Zen Hei"/>
        <family val="2"/>
      </rPr>
      <t xml:space="preserve">回収期間。</t>
    </r>
  </si>
  <si>
    <t xml:space="preserve">月次予測</t>
  </si>
  <si>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ヶ月の店舗数・売上・費用・営業利益の推移。</t>
    </r>
  </si>
  <si>
    <t xml:space="preserve">損益分岐点</t>
  </si>
  <si>
    <r>
      <rPr>
        <sz val="10"/>
        <rFont val="WenQuanYi Zen Hei"/>
        <family val="2"/>
      </rPr>
      <t xml:space="preserve">黒字化に必要な店舗数と、価格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分配率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解約率 </t>
    </r>
    <r>
      <rPr>
        <sz val="10"/>
        <rFont val="Arial"/>
        <family val="0"/>
        <charset val="1"/>
      </rPr>
      <t xml:space="preserve">× CAC </t>
    </r>
    <r>
      <rPr>
        <sz val="10"/>
        <rFont val="WenQuanYi Zen Hei"/>
        <family val="2"/>
      </rPr>
      <t xml:space="preserve">の感応度分析。</t>
    </r>
  </si>
  <si>
    <t xml:space="preserve">競合比較</t>
  </si>
  <si>
    <r>
      <rPr>
        <sz val="10"/>
        <rFont val="Arial"/>
        <family val="0"/>
        <charset val="1"/>
      </rPr>
      <t xml:space="preserve">USEN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OTORAKU </t>
    </r>
    <r>
      <rPr>
        <sz val="10"/>
        <rFont val="WenQuanYi Zen Hei"/>
        <family val="2"/>
      </rPr>
      <t xml:space="preserve">等との価格比較（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月時点の調査値）。</t>
    </r>
  </si>
  <si>
    <t xml:space="preserve">重要な前提</t>
  </si>
  <si>
    <r>
      <rPr>
        <sz val="10"/>
        <rFont val="WenQuanYi Zen Hei"/>
        <family val="2"/>
      </rPr>
      <t xml:space="preserve">・純売上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税込売上 − 消費税 − </t>
    </r>
    <r>
      <rPr>
        <sz val="10"/>
        <rFont val="Arial"/>
        <family val="0"/>
        <charset val="1"/>
      </rPr>
      <t xml:space="preserve">Stripe </t>
    </r>
    <r>
      <rPr>
        <sz val="10"/>
        <rFont val="WenQuanYi Zen Hei"/>
        <family val="2"/>
      </rPr>
      <t xml:space="preserve">手数料。分配プールはこの「純売上」に対して </t>
    </r>
    <r>
      <rPr>
        <sz val="10"/>
        <rFont val="Arial"/>
        <family val="0"/>
        <charset val="1"/>
      </rPr>
      <t xml:space="preserve">45%</t>
    </r>
    <r>
      <rPr>
        <sz val="10"/>
        <rFont val="WenQuanYi Zen Hei"/>
        <family val="2"/>
      </rPr>
      <t xml:space="preserve">（設計書 </t>
    </r>
    <r>
      <rPr>
        <sz val="10"/>
        <rFont val="Arial"/>
        <family val="0"/>
        <charset val="1"/>
      </rPr>
      <t xml:space="preserve">08 </t>
    </r>
    <r>
      <rPr>
        <sz val="10"/>
        <rFont val="WenQuanYi Zen Hei"/>
        <family val="2"/>
      </rPr>
      <t xml:space="preserve">と同じ定義）。</t>
    </r>
  </si>
  <si>
    <r>
      <rPr>
        <sz val="10"/>
        <rFont val="WenQuanYi Zen Hei"/>
        <family val="2"/>
      </rPr>
      <t xml:space="preserve">・つまり税込売上のうち手元に残る貢献利益は約 </t>
    </r>
    <r>
      <rPr>
        <sz val="10"/>
        <rFont val="Arial"/>
        <family val="0"/>
        <charset val="1"/>
      </rPr>
      <t xml:space="preserve">48%</t>
    </r>
    <r>
      <rPr>
        <sz val="10"/>
        <rFont val="WenQuanYi Zen Hei"/>
        <family val="2"/>
      </rPr>
      <t xml:space="preserve">。この構造が損益分岐点を大きく左右する。</t>
    </r>
  </si>
  <si>
    <t xml:space="preserve">・創作者への分配は商用再生のみが対象。リスナー向け無料ストリーミングは分配対象外。</t>
  </si>
  <si>
    <r>
      <rPr>
        <sz val="10"/>
        <rFont val="WenQuanYi Zen Hei"/>
        <family val="2"/>
      </rPr>
      <t xml:space="preserve">・インフラ費は </t>
    </r>
    <r>
      <rPr>
        <sz val="10"/>
        <rFont val="Arial"/>
        <family val="0"/>
        <charset val="1"/>
      </rPr>
      <t xml:space="preserve">R2</t>
    </r>
    <r>
      <rPr>
        <sz val="10"/>
        <rFont val="WenQuanYi Zen Hei"/>
        <family val="2"/>
      </rPr>
      <t xml:space="preserve">（エグレス無料）前提。帯域費をゼロとしているのはこのため。</t>
    </r>
  </si>
  <si>
    <t xml:space="preserve">・人件費は日本の相場を仮置きしたもの。実際の採用計画に合わせて必ず調整すること。</t>
  </si>
  <si>
    <t xml:space="preserve">出典</t>
  </si>
  <si>
    <r>
      <rPr>
        <sz val="9"/>
        <color rgb="FF666666"/>
        <rFont val="WenQuanYi Zen Hei"/>
        <family val="2"/>
      </rPr>
      <t xml:space="preserve">・</t>
    </r>
    <r>
      <rPr>
        <sz val="9"/>
        <color rgb="FF666666"/>
        <rFont val="Arial"/>
        <family val="0"/>
        <charset val="1"/>
      </rPr>
      <t xml:space="preserve">JASRAC BGM </t>
    </r>
    <r>
      <rPr>
        <sz val="9"/>
        <color rgb="FF666666"/>
        <rFont val="WenQuanYi Zen Hei"/>
        <family val="2"/>
      </rPr>
      <t xml:space="preserve">使用料（</t>
    </r>
    <r>
      <rPr>
        <sz val="9"/>
        <color rgb="FF666666"/>
        <rFont val="Arial"/>
        <family val="0"/>
        <charset val="1"/>
      </rPr>
      <t xml:space="preserve">500</t>
    </r>
    <r>
      <rPr>
        <sz val="9"/>
        <color rgb="FF666666"/>
        <rFont val="WenQuanYi Zen Hei"/>
        <family val="2"/>
      </rPr>
      <t xml:space="preserve">㎡以下 年額 </t>
    </r>
    <r>
      <rPr>
        <sz val="9"/>
        <color rgb="FF666666"/>
        <rFont val="Arial"/>
        <family val="0"/>
        <charset val="1"/>
      </rPr>
      <t xml:space="preserve">¥6,000 </t>
    </r>
    <r>
      <rPr>
        <sz val="9"/>
        <color rgb="FF666666"/>
        <rFont val="WenQuanYi Zen Hei"/>
        <family val="2"/>
      </rPr>
      <t xml:space="preserve">ほか面積区分）</t>
    </r>
    <r>
      <rPr>
        <sz val="9"/>
        <color rgb="FF666666"/>
        <rFont val="Arial"/>
        <family val="0"/>
        <charset val="1"/>
      </rPr>
      <t xml:space="preserve">: JASRAC </t>
    </r>
    <r>
      <rPr>
        <sz val="9"/>
        <color rgb="FF666666"/>
        <rFont val="WenQuanYi Zen Hei"/>
        <family val="2"/>
      </rPr>
      <t xml:space="preserve">公式 </t>
    </r>
    <r>
      <rPr>
        <sz val="9"/>
        <color rgb="FF666666"/>
        <rFont val="Arial"/>
        <family val="0"/>
        <charset val="1"/>
      </rPr>
      <t xml:space="preserve">FAQ / </t>
    </r>
    <r>
      <rPr>
        <sz val="9"/>
        <color rgb="FF666666"/>
        <rFont val="WenQuanYi Zen Hei"/>
        <family val="2"/>
      </rPr>
      <t xml:space="preserve">使用料規程 第</t>
    </r>
    <r>
      <rPr>
        <sz val="9"/>
        <color rgb="FF666666"/>
        <rFont val="Arial"/>
        <family val="0"/>
        <charset val="1"/>
      </rPr>
      <t xml:space="preserve">12</t>
    </r>
    <r>
      <rPr>
        <sz val="9"/>
        <color rgb="FF666666"/>
        <rFont val="WenQuanYi Zen Hei"/>
        <family val="2"/>
      </rPr>
      <t xml:space="preserve">節 </t>
    </r>
    <r>
      <rPr>
        <sz val="9"/>
        <color rgb="FF666666"/>
        <rFont val="Arial"/>
        <family val="0"/>
        <charset val="1"/>
      </rPr>
      <t xml:space="preserve">BGM</t>
    </r>
  </si>
  <si>
    <r>
      <rPr>
        <sz val="9"/>
        <color rgb="FF666666"/>
        <rFont val="WenQuanYi Zen Hei"/>
        <family val="2"/>
      </rPr>
      <t xml:space="preserve">・</t>
    </r>
    <r>
      <rPr>
        <sz val="9"/>
        <color rgb="FF666666"/>
        <rFont val="Arial"/>
        <family val="0"/>
        <charset val="1"/>
      </rPr>
      <t xml:space="preserve">USEN MUSIC </t>
    </r>
    <r>
      <rPr>
        <sz val="9"/>
        <color rgb="FF666666"/>
        <rFont val="WenQuanYi Zen Hei"/>
        <family val="2"/>
      </rPr>
      <t xml:space="preserve">月額 </t>
    </r>
    <r>
      <rPr>
        <sz val="9"/>
        <color rgb="FF666666"/>
        <rFont val="Arial"/>
        <family val="0"/>
        <charset val="1"/>
      </rPr>
      <t xml:space="preserve">¥6,600</t>
    </r>
    <r>
      <rPr>
        <sz val="9"/>
        <color rgb="FF666666"/>
        <rFont val="WenQuanYi Zen Hei"/>
        <family val="2"/>
      </rPr>
      <t xml:space="preserve">〜・初期費用 </t>
    </r>
    <r>
      <rPr>
        <sz val="9"/>
        <color rgb="FF666666"/>
        <rFont val="Arial"/>
        <family val="0"/>
        <charset val="1"/>
      </rPr>
      <t xml:space="preserve">¥22,000</t>
    </r>
    <r>
      <rPr>
        <sz val="9"/>
        <color rgb="FF666666"/>
        <rFont val="WenQuanYi Zen Hei"/>
        <family val="2"/>
      </rPr>
      <t xml:space="preserve">〜</t>
    </r>
    <r>
      <rPr>
        <sz val="9"/>
        <color rgb="FF666666"/>
        <rFont val="Arial"/>
        <family val="0"/>
        <charset val="1"/>
      </rPr>
      <t xml:space="preserve">33,000: USEN </t>
    </r>
    <r>
      <rPr>
        <sz val="9"/>
        <color rgb="FF666666"/>
        <rFont val="WenQuanYi Zen Hei"/>
        <family val="2"/>
      </rPr>
      <t xml:space="preserve">公式および代理店公開情報（</t>
    </r>
    <r>
      <rPr>
        <sz val="9"/>
        <color rgb="FF666666"/>
        <rFont val="Arial"/>
        <family val="0"/>
        <charset val="1"/>
      </rPr>
      <t xml:space="preserve">2026</t>
    </r>
    <r>
      <rPr>
        <sz val="9"/>
        <color rgb="FF666666"/>
        <rFont val="WenQuanYi Zen Hei"/>
        <family val="2"/>
      </rPr>
      <t xml:space="preserve">年</t>
    </r>
    <r>
      <rPr>
        <sz val="9"/>
        <color rgb="FF666666"/>
        <rFont val="Arial"/>
        <family val="0"/>
        <charset val="1"/>
      </rPr>
      <t xml:space="preserve">8</t>
    </r>
    <r>
      <rPr>
        <sz val="9"/>
        <color rgb="FF666666"/>
        <rFont val="WenQuanYi Zen Hei"/>
        <family val="2"/>
      </rPr>
      <t xml:space="preserve">月時点）</t>
    </r>
  </si>
  <si>
    <r>
      <rPr>
        <sz val="9"/>
        <color rgb="FF666666"/>
        <rFont val="WenQuanYi Zen Hei"/>
        <family val="2"/>
      </rPr>
      <t xml:space="preserve">・モンスター・チャンネル </t>
    </r>
    <r>
      <rPr>
        <sz val="9"/>
        <color rgb="FF666666"/>
        <rFont val="Arial"/>
        <family val="0"/>
        <charset val="1"/>
      </rPr>
      <t xml:space="preserve">¥1,880</t>
    </r>
    <r>
      <rPr>
        <sz val="9"/>
        <color rgb="FF666666"/>
        <rFont val="WenQuanYi Zen Hei"/>
        <family val="2"/>
      </rPr>
      <t xml:space="preserve">〜</t>
    </r>
    <r>
      <rPr>
        <sz val="9"/>
        <color rgb="FF666666"/>
        <rFont val="Arial"/>
        <family val="0"/>
        <charset val="1"/>
      </rPr>
      <t xml:space="preserve">2,880</t>
    </r>
    <r>
      <rPr>
        <sz val="9"/>
        <color rgb="FF666666"/>
        <rFont val="WenQuanYi Zen Hei"/>
        <family val="2"/>
      </rPr>
      <t xml:space="preserve">（税抜）</t>
    </r>
    <r>
      <rPr>
        <sz val="9"/>
        <color rgb="FF666666"/>
        <rFont val="Arial"/>
        <family val="0"/>
        <charset val="1"/>
      </rPr>
      <t xml:space="preserve">: monstar.ch </t>
    </r>
    <r>
      <rPr>
        <sz val="9"/>
        <color rgb="FF666666"/>
        <rFont val="WenQuanYi Zen Hei"/>
        <family val="2"/>
      </rPr>
      <t xml:space="preserve">公式料金ページ（</t>
    </r>
    <r>
      <rPr>
        <sz val="9"/>
        <color rgb="FF666666"/>
        <rFont val="Arial"/>
        <family val="0"/>
        <charset val="1"/>
      </rPr>
      <t xml:space="preserve">2026</t>
    </r>
    <r>
      <rPr>
        <sz val="9"/>
        <color rgb="FF666666"/>
        <rFont val="WenQuanYi Zen Hei"/>
        <family val="2"/>
      </rPr>
      <t xml:space="preserve">年</t>
    </r>
    <r>
      <rPr>
        <sz val="9"/>
        <color rgb="FF666666"/>
        <rFont val="Arial"/>
        <family val="0"/>
        <charset val="1"/>
      </rPr>
      <t xml:space="preserve">8</t>
    </r>
    <r>
      <rPr>
        <sz val="9"/>
        <color rgb="FF666666"/>
        <rFont val="WenQuanYi Zen Hei"/>
        <family val="2"/>
      </rPr>
      <t xml:space="preserve">月時点）</t>
    </r>
  </si>
  <si>
    <r>
      <rPr>
        <sz val="9"/>
        <color rgb="FF666666"/>
        <rFont val="WenQuanYi Zen Hei"/>
        <family val="2"/>
      </rPr>
      <t xml:space="preserve">・その他 </t>
    </r>
    <r>
      <rPr>
        <sz val="9"/>
        <color rgb="FF666666"/>
        <rFont val="Arial"/>
        <family val="0"/>
        <charset val="1"/>
      </rPr>
      <t xml:space="preserve">BGM </t>
    </r>
    <r>
      <rPr>
        <sz val="9"/>
        <color rgb="FF666666"/>
        <rFont val="WenQuanYi Zen Hei"/>
        <family val="2"/>
      </rPr>
      <t xml:space="preserve">サービス料金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WenQuanYi Zen Hei"/>
        <family val="2"/>
      </rPr>
      <t xml:space="preserve">店舗</t>
    </r>
    <r>
      <rPr>
        <sz val="9"/>
        <color rgb="FF666666"/>
        <rFont val="Arial"/>
        <family val="0"/>
        <charset val="1"/>
      </rPr>
      <t xml:space="preserve">BGM</t>
    </r>
    <r>
      <rPr>
        <sz val="9"/>
        <color rgb="FF666666"/>
        <rFont val="WenQuanYi Zen Hei"/>
        <family val="2"/>
      </rPr>
      <t xml:space="preserve">サービス比較記事（</t>
    </r>
    <r>
      <rPr>
        <sz val="9"/>
        <color rgb="FF666666"/>
        <rFont val="Arial"/>
        <family val="0"/>
        <charset val="1"/>
      </rPr>
      <t xml:space="preserve">2026</t>
    </r>
    <r>
      <rPr>
        <sz val="9"/>
        <color rgb="FF666666"/>
        <rFont val="WenQuanYi Zen Hei"/>
        <family val="2"/>
      </rPr>
      <t xml:space="preserve">年版）</t>
    </r>
  </si>
  <si>
    <r>
      <rPr>
        <sz val="9"/>
        <color rgb="FF666666"/>
        <rFont val="WenQuanYi Zen Hei"/>
        <family val="2"/>
      </rPr>
      <t xml:space="preserve">・レコード演奏・伝達権</t>
    </r>
    <r>
      <rPr>
        <sz val="9"/>
        <color rgb="FF666666"/>
        <rFont val="Arial"/>
        <family val="0"/>
        <charset val="1"/>
      </rPr>
      <t xml:space="preserve">: 2026</t>
    </r>
    <r>
      <rPr>
        <sz val="9"/>
        <color rgb="FF666666"/>
        <rFont val="WenQuanYi Zen Hei"/>
        <family val="2"/>
      </rPr>
      <t xml:space="preserve">年</t>
    </r>
    <r>
      <rPr>
        <sz val="9"/>
        <color rgb="FF666666"/>
        <rFont val="Arial"/>
        <family val="0"/>
        <charset val="1"/>
      </rPr>
      <t xml:space="preserve">6</t>
    </r>
    <r>
      <rPr>
        <sz val="9"/>
        <color rgb="FF666666"/>
        <rFont val="WenQuanYi Zen Hei"/>
        <family val="2"/>
      </rPr>
      <t xml:space="preserve">月</t>
    </r>
    <r>
      <rPr>
        <sz val="9"/>
        <color rgb="FF666666"/>
        <rFont val="Arial"/>
        <family val="0"/>
        <charset val="1"/>
      </rPr>
      <t xml:space="preserve">17</t>
    </r>
    <r>
      <rPr>
        <sz val="9"/>
        <color rgb="FF666666"/>
        <rFont val="WenQuanYi Zen Hei"/>
        <family val="2"/>
      </rPr>
      <t xml:space="preserve">日成立・</t>
    </r>
    <r>
      <rPr>
        <sz val="9"/>
        <color rgb="FF666666"/>
        <rFont val="Arial"/>
        <family val="0"/>
        <charset val="1"/>
      </rPr>
      <t xml:space="preserve">6</t>
    </r>
    <r>
      <rPr>
        <sz val="9"/>
        <color rgb="FF666666"/>
        <rFont val="WenQuanYi Zen Hei"/>
        <family val="2"/>
      </rPr>
      <t xml:space="preserve">月</t>
    </r>
    <r>
      <rPr>
        <sz val="9"/>
        <color rgb="FF666666"/>
        <rFont val="Arial"/>
        <family val="0"/>
        <charset val="1"/>
      </rPr>
      <t xml:space="preserve">24</t>
    </r>
    <r>
      <rPr>
        <sz val="9"/>
        <color rgb="FF666666"/>
        <rFont val="WenQuanYi Zen Hei"/>
        <family val="2"/>
      </rPr>
      <t xml:space="preserve">日公布、施行は公布から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年以内</t>
    </r>
  </si>
  <si>
    <r>
      <rPr>
        <sz val="9"/>
        <color rgb="FF666666"/>
        <rFont val="WenQuanYi Zen Hei"/>
        <family val="2"/>
      </rPr>
      <t xml:space="preserve">・</t>
    </r>
    <r>
      <rPr>
        <sz val="9"/>
        <color rgb="FF666666"/>
        <rFont val="Arial"/>
        <family val="0"/>
        <charset val="1"/>
      </rPr>
      <t xml:space="preserve">Stripe </t>
    </r>
    <r>
      <rPr>
        <sz val="9"/>
        <color rgb="FF666666"/>
        <rFont val="WenQuanYi Zen Hei"/>
        <family val="2"/>
      </rPr>
      <t xml:space="preserve">手数料率 </t>
    </r>
    <r>
      <rPr>
        <sz val="9"/>
        <color rgb="FF666666"/>
        <rFont val="Arial"/>
        <family val="0"/>
        <charset val="1"/>
      </rPr>
      <t xml:space="preserve">3.6%</t>
    </r>
    <r>
      <rPr>
        <sz val="9"/>
        <color rgb="FF666666"/>
        <rFont val="WenQuanYi Zen Hei"/>
        <family val="2"/>
      </rPr>
      <t xml:space="preserve">（日本国内カード）</t>
    </r>
    <r>
      <rPr>
        <sz val="9"/>
        <color rgb="FF666666"/>
        <rFont val="Arial"/>
        <family val="0"/>
        <charset val="1"/>
      </rPr>
      <t xml:space="preserve">: Stripe </t>
    </r>
    <r>
      <rPr>
        <sz val="9"/>
        <color rgb="FF666666"/>
        <rFont val="WenQuanYi Zen Hei"/>
        <family val="2"/>
      </rPr>
      <t xml:space="preserve">公開価格</t>
    </r>
  </si>
  <si>
    <r>
      <rPr>
        <sz val="9"/>
        <color rgb="FF666666"/>
        <rFont val="WenQuanYi Zen Hei"/>
        <family val="2"/>
      </rPr>
      <t xml:space="preserve">・上記以外の数値（成長率・解約率・</t>
    </r>
    <r>
      <rPr>
        <sz val="9"/>
        <color rgb="FF666666"/>
        <rFont val="Arial"/>
        <family val="0"/>
        <charset val="1"/>
      </rPr>
      <t xml:space="preserve">CAC</t>
    </r>
    <r>
      <rPr>
        <sz val="9"/>
        <color rgb="FF666666"/>
        <rFont val="WenQuanYi Zen Hei"/>
        <family val="2"/>
      </rPr>
      <t xml:space="preserve">・人件費）は仮置き。実測値で置き換えること。</t>
    </r>
  </si>
  <si>
    <t xml:space="preserve">本モデルは事業計画の検討用であり、会計・税務・法務上の助言ではありません。</t>
  </si>
  <si>
    <r>
      <rPr>
        <i val="true"/>
        <sz val="10"/>
        <color rgb="FF666666"/>
        <rFont val="WenQuanYi Zen Hei"/>
        <family val="2"/>
      </rPr>
      <t xml:space="preserve">青字・黄色背景のセルのみ編集する。</t>
    </r>
    <r>
      <rPr>
        <i val="true"/>
        <sz val="10"/>
        <color rgb="FF666666"/>
        <rFont val="Arial"/>
        <family val="0"/>
        <charset val="1"/>
      </rPr>
      <t xml:space="preserve">D</t>
    </r>
    <r>
      <rPr>
        <i val="true"/>
        <sz val="10"/>
        <color rgb="FF666666"/>
        <rFont val="WenQuanYi Zen Hei"/>
        <family val="2"/>
      </rPr>
      <t xml:space="preserve">〜</t>
    </r>
    <r>
      <rPr>
        <i val="true"/>
        <sz val="10"/>
        <color rgb="FF666666"/>
        <rFont val="Arial"/>
        <family val="0"/>
        <charset val="1"/>
      </rPr>
      <t xml:space="preserve">F</t>
    </r>
    <r>
      <rPr>
        <i val="true"/>
        <sz val="10"/>
        <color rgb="FF666666"/>
        <rFont val="WenQuanYi Zen Hei"/>
        <family val="2"/>
      </rPr>
      <t xml:space="preserve">列は参考値（モデルは </t>
    </r>
    <r>
      <rPr>
        <i val="true"/>
        <sz val="10"/>
        <color rgb="FF666666"/>
        <rFont val="Arial"/>
        <family val="0"/>
        <charset val="1"/>
      </rPr>
      <t xml:space="preserve">C </t>
    </r>
    <r>
      <rPr>
        <i val="true"/>
        <sz val="10"/>
        <color rgb="FF666666"/>
        <rFont val="WenQuanYi Zen Hei"/>
        <family val="2"/>
      </rPr>
      <t xml:space="preserve">列のみを読む）。</t>
    </r>
  </si>
  <si>
    <t xml:space="preserve">項目</t>
  </si>
  <si>
    <t xml:space="preserve">現在値</t>
  </si>
  <si>
    <t xml:space="preserve">保守</t>
  </si>
  <si>
    <t xml:space="preserve">基本</t>
  </si>
  <si>
    <t xml:space="preserve">楽観</t>
  </si>
  <si>
    <t xml:space="preserve">備考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</si>
  <si>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価格（税込）</t>
    </r>
  </si>
  <si>
    <r>
      <rPr>
        <sz val="10"/>
        <rFont val="Arial"/>
        <family val="0"/>
        <charset val="1"/>
      </rPr>
      <t xml:space="preserve">Standard </t>
    </r>
    <r>
      <rPr>
        <sz val="10"/>
        <rFont val="WenQuanYi Zen Hei"/>
        <family val="2"/>
      </rPr>
      <t xml:space="preserve">月額</t>
    </r>
  </si>
  <si>
    <r>
      <rPr>
        <sz val="9"/>
        <color rgb="FF666666"/>
        <rFont val="WenQuanYi Zen Hei"/>
        <family val="2"/>
      </rPr>
      <t xml:space="preserve">設計書 </t>
    </r>
    <r>
      <rPr>
        <sz val="9"/>
        <color rgb="FF666666"/>
        <rFont val="Arial"/>
        <family val="0"/>
        <charset val="1"/>
      </rPr>
      <t xml:space="preserve">01 </t>
    </r>
    <r>
      <rPr>
        <sz val="9"/>
        <color rgb="FF666666"/>
        <rFont val="WenQuanYi Zen Hei"/>
        <family val="2"/>
      </rPr>
      <t xml:space="preserve">の想定価格</t>
    </r>
  </si>
  <si>
    <r>
      <rPr>
        <sz val="10"/>
        <rFont val="Arial"/>
        <family val="0"/>
        <charset val="1"/>
      </rPr>
      <t xml:space="preserve">Custom </t>
    </r>
    <r>
      <rPr>
        <sz val="10"/>
        <rFont val="WenQuanYi Zen Hei"/>
        <family val="2"/>
      </rPr>
      <t xml:space="preserve">月額</t>
    </r>
  </si>
  <si>
    <t xml:space="preserve">店舗専属カタログ・多店舗管理</t>
  </si>
  <si>
    <t xml:space="preserve">年払い割引率</t>
  </si>
  <si>
    <t xml:space="preserve">年払い顧客に適用</t>
  </si>
  <si>
    <t xml:space="preserve">年払い顧客比率</t>
  </si>
  <si>
    <t xml:space="preserve">高いほど解約率が下がるが売上は減る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</si>
  <si>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顧客構成</t>
    </r>
  </si>
  <si>
    <r>
      <rPr>
        <sz val="10"/>
        <rFont val="Arial"/>
        <family val="0"/>
        <charset val="1"/>
      </rPr>
      <t xml:space="preserve">Standard </t>
    </r>
    <r>
      <rPr>
        <sz val="10"/>
        <rFont val="WenQuanYi Zen Hei"/>
        <family val="2"/>
      </rPr>
      <t xml:space="preserve">比率</t>
    </r>
  </si>
  <si>
    <r>
      <rPr>
        <sz val="9"/>
        <color rgb="FF666666"/>
        <rFont val="WenQuanYi Zen Hei"/>
        <family val="2"/>
      </rPr>
      <t xml:space="preserve">残りが </t>
    </r>
    <r>
      <rPr>
        <sz val="9"/>
        <color rgb="FF666666"/>
        <rFont val="Arial"/>
        <family val="0"/>
        <charset val="1"/>
      </rPr>
      <t xml:space="preserve">Custom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</si>
  <si>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収益構造</t>
    </r>
  </si>
  <si>
    <t xml:space="preserve">消費税率</t>
  </si>
  <si>
    <t xml:space="preserve">総額表示のため税込価格から控除</t>
  </si>
  <si>
    <r>
      <rPr>
        <sz val="10"/>
        <rFont val="Arial"/>
        <family val="0"/>
        <charset val="1"/>
      </rPr>
      <t xml:space="preserve">Stripe </t>
    </r>
    <r>
      <rPr>
        <sz val="10"/>
        <rFont val="WenQuanYi Zen Hei"/>
        <family val="2"/>
      </rPr>
      <t xml:space="preserve">手数料率</t>
    </r>
  </si>
  <si>
    <t xml:space="preserve">日本国内カード。税込金額に対して課金</t>
  </si>
  <si>
    <t xml:space="preserve">創作者分配プール率</t>
  </si>
  <si>
    <r>
      <rPr>
        <sz val="9"/>
        <color rgb="FF666666"/>
        <rFont val="WenQuanYi Zen Hei"/>
        <family val="2"/>
      </rPr>
      <t xml:space="preserve">純売上に対する比率（設計書 </t>
    </r>
    <r>
      <rPr>
        <sz val="9"/>
        <color rgb="FF666666"/>
        <rFont val="Arial"/>
        <family val="0"/>
        <charset val="1"/>
      </rPr>
      <t xml:space="preserve">08</t>
    </r>
    <r>
      <rPr>
        <sz val="9"/>
        <color rgb="FF666666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</si>
  <si>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成長と解約</t>
    </r>
  </si>
  <si>
    <t xml:space="preserve">初月の新規獲得店舗数</t>
  </si>
  <si>
    <r>
      <rPr>
        <sz val="9"/>
        <color rgb="FF666666"/>
        <rFont val="Arial"/>
        <family val="0"/>
        <charset val="1"/>
      </rPr>
      <t xml:space="preserve">Phase 2 </t>
    </r>
    <r>
      <rPr>
        <sz val="9"/>
        <color rgb="FF666666"/>
        <rFont val="WenQuanYi Zen Hei"/>
        <family val="2"/>
      </rPr>
      <t xml:space="preserve">開始時点</t>
    </r>
  </si>
  <si>
    <t xml:space="preserve">新規獲得の月次成長率</t>
  </si>
  <si>
    <t xml:space="preserve">営業体制の拡大ペース</t>
  </si>
  <si>
    <t xml:space="preserve">月次新規獲得の上限</t>
  </si>
  <si>
    <t xml:space="preserve">営業キャパシティの天井</t>
  </si>
  <si>
    <t xml:space="preserve">月次解約率</t>
  </si>
  <si>
    <r>
      <rPr>
        <sz val="9"/>
        <color rgb="FF666666"/>
        <rFont val="WenQuanYi Zen Hei"/>
        <family val="2"/>
      </rPr>
      <t xml:space="preserve">設計書 </t>
    </r>
    <r>
      <rPr>
        <sz val="9"/>
        <color rgb="FF666666"/>
        <rFont val="Arial"/>
        <family val="0"/>
        <charset val="1"/>
      </rPr>
      <t xml:space="preserve">09 </t>
    </r>
    <r>
      <rPr>
        <sz val="9"/>
        <color rgb="FF666666"/>
        <rFont val="WenQuanYi Zen Hei"/>
        <family val="2"/>
      </rPr>
      <t xml:space="preserve">の目標は </t>
    </r>
    <r>
      <rPr>
        <sz val="9"/>
        <color rgb="FF666666"/>
        <rFont val="Arial"/>
        <family val="0"/>
        <charset val="1"/>
      </rPr>
      <t xml:space="preserve">3% </t>
    </r>
    <r>
      <rPr>
        <sz val="9"/>
        <color rgb="FF666666"/>
        <rFont val="WenQuanYi Zen Hei"/>
        <family val="2"/>
      </rPr>
      <t xml:space="preserve">未満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</si>
  <si>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顧客獲得コスト</t>
    </r>
  </si>
  <si>
    <r>
      <rPr>
        <sz val="10"/>
        <rFont val="Arial"/>
        <family val="0"/>
        <charset val="1"/>
      </rPr>
      <t xml:space="preserve">CAC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店舗あたり）</t>
    </r>
  </si>
  <si>
    <t xml:space="preserve">広告・インサイドセールス・代理店手数料の合計</t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</si>
  <si>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固定費（月額）</t>
    </r>
  </si>
  <si>
    <t xml:space="preserve">エンジニア人数</t>
  </si>
  <si>
    <r>
      <rPr>
        <sz val="10"/>
        <rFont val="WenQuanYi Zen Hei"/>
        <family val="2"/>
      </rPr>
      <t xml:space="preserve">エンジニア給与（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名）</t>
    </r>
  </si>
  <si>
    <t xml:space="preserve">社会保険料等を含む会社負担額</t>
  </si>
  <si>
    <t xml:space="preserve">審査担当人数</t>
  </si>
  <si>
    <t xml:space="preserve">カタログ汚染防止の要。曲数に比例して増える</t>
  </si>
  <si>
    <r>
      <rPr>
        <sz val="10"/>
        <rFont val="WenQuanYi Zen Hei"/>
        <family val="2"/>
      </rPr>
      <t xml:space="preserve">審査担当給与（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名）</t>
    </r>
  </si>
  <si>
    <t xml:space="preserve">カスタマーサポート人数</t>
  </si>
  <si>
    <r>
      <rPr>
        <sz val="10"/>
        <rFont val="WenQuanYi Zen Hei"/>
        <family val="2"/>
      </rPr>
      <t xml:space="preserve">サポート給与（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名）</t>
    </r>
  </si>
  <si>
    <t xml:space="preserve">営業人数</t>
  </si>
  <si>
    <r>
      <rPr>
        <sz val="10"/>
        <rFont val="WenQuanYi Zen Hei"/>
        <family val="2"/>
      </rPr>
      <t xml:space="preserve">営業給与（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名）</t>
    </r>
  </si>
  <si>
    <r>
      <rPr>
        <sz val="9"/>
        <color rgb="FF666666"/>
        <rFont val="WenQuanYi Zen Hei"/>
        <family val="2"/>
      </rPr>
      <t xml:space="preserve">固定給。歩合は </t>
    </r>
    <r>
      <rPr>
        <sz val="9"/>
        <color rgb="FF666666"/>
        <rFont val="Arial"/>
        <family val="0"/>
        <charset val="1"/>
      </rPr>
      <t xml:space="preserve">CAC </t>
    </r>
    <r>
      <rPr>
        <sz val="9"/>
        <color rgb="FF666666"/>
        <rFont val="WenQuanYi Zen Hei"/>
        <family val="2"/>
      </rPr>
      <t xml:space="preserve">に含む</t>
    </r>
  </si>
  <si>
    <t xml:space="preserve">その他固定費</t>
  </si>
  <si>
    <r>
      <rPr>
        <sz val="9"/>
        <color rgb="FF666666"/>
        <rFont val="WenQuanYi Zen Hei"/>
        <family val="2"/>
      </rPr>
      <t xml:space="preserve">オフィス・</t>
    </r>
    <r>
      <rPr>
        <sz val="9"/>
        <color rgb="FF666666"/>
        <rFont val="Arial"/>
        <family val="0"/>
        <charset val="1"/>
      </rPr>
      <t xml:space="preserve">SaaS</t>
    </r>
    <r>
      <rPr>
        <sz val="9"/>
        <color rgb="FF666666"/>
        <rFont val="WenQuanYi Zen Hei"/>
        <family val="2"/>
      </rPr>
      <t xml:space="preserve">・会計</t>
    </r>
  </si>
  <si>
    <t xml:space="preserve">法務費（月次按分）</t>
  </si>
  <si>
    <r>
      <rPr>
        <sz val="9"/>
        <color rgb="FF666666"/>
        <rFont val="WenQuanYi Zen Hei"/>
        <family val="2"/>
      </rPr>
      <t xml:space="preserve">初期の弁護士費用 </t>
    </r>
    <r>
      <rPr>
        <sz val="9"/>
        <color rgb="FF666666"/>
        <rFont val="Arial"/>
        <family val="0"/>
        <charset val="1"/>
      </rPr>
      <t xml:space="preserve">¥30</t>
    </r>
    <r>
      <rPr>
        <sz val="9"/>
        <color rgb="FF666666"/>
        <rFont val="WenQuanYi Zen Hei"/>
        <family val="2"/>
      </rPr>
      <t xml:space="preserve">〜</t>
    </r>
    <r>
      <rPr>
        <sz val="9"/>
        <color rgb="FF666666"/>
        <rFont val="Arial"/>
        <family val="0"/>
        <charset val="1"/>
      </rPr>
      <t xml:space="preserve">100</t>
    </r>
    <r>
      <rPr>
        <sz val="9"/>
        <color rgb="FF666666"/>
        <rFont val="WenQuanYi Zen Hei"/>
        <family val="2"/>
      </rPr>
      <t xml:space="preserve">万を按分＋継続顧問料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</si>
  <si>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インフラ</t>
    </r>
  </si>
  <si>
    <r>
      <rPr>
        <sz val="10"/>
        <rFont val="WenQuanYi Zen Hei"/>
        <family val="2"/>
      </rPr>
      <t xml:space="preserve">為替レート（</t>
    </r>
    <r>
      <rPr>
        <sz val="10"/>
        <rFont val="Arial"/>
        <family val="0"/>
        <charset val="1"/>
      </rPr>
      <t xml:space="preserve">JPY/USD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</si>
  <si>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ストレージ単価（</t>
    </r>
    <r>
      <rPr>
        <sz val="10"/>
        <rFont val="Arial"/>
        <family val="0"/>
        <charset val="1"/>
      </rPr>
      <t xml:space="preserve">USD/GB/</t>
    </r>
    <r>
      <rPr>
        <sz val="10"/>
        <rFont val="WenQuanYi Zen Hei"/>
        <family val="2"/>
      </rPr>
      <t xml:space="preserve">月）</t>
    </r>
  </si>
  <si>
    <r>
      <rPr>
        <sz val="9"/>
        <color rgb="FF666666"/>
        <rFont val="Arial"/>
        <family val="0"/>
        <charset val="1"/>
      </rPr>
      <t xml:space="preserve">Cloudflare R2</t>
    </r>
    <r>
      <rPr>
        <sz val="9"/>
        <color rgb="FF666666"/>
        <rFont val="WenQuanYi Zen Hei"/>
        <family val="2"/>
      </rPr>
      <t xml:space="preserve">。エグレス（帯域）は無料</t>
    </r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</si>
  <si>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曲あたり容量（</t>
    </r>
    <r>
      <rPr>
        <sz val="10"/>
        <rFont val="Arial"/>
        <family val="0"/>
        <charset val="1"/>
      </rPr>
      <t xml:space="preserve">GB</t>
    </r>
    <r>
      <rPr>
        <sz val="10"/>
        <rFont val="WenQuanYi Zen Hei"/>
        <family val="2"/>
      </rPr>
      <t xml:space="preserve">）</t>
    </r>
  </si>
  <si>
    <r>
      <rPr>
        <sz val="9"/>
        <color rgb="FF666666"/>
        <rFont val="WenQuanYi Zen Hei"/>
        <family val="2"/>
      </rPr>
      <t xml:space="preserve">原音源 </t>
    </r>
    <r>
      <rPr>
        <sz val="9"/>
        <color rgb="FF666666"/>
        <rFont val="Arial"/>
        <family val="0"/>
        <charset val="1"/>
      </rPr>
      <t xml:space="preserve">30MB </t>
    </r>
    <r>
      <rPr>
        <sz val="9"/>
        <color rgb="FF666666"/>
        <rFont val="WenQuanYi Zen Hei"/>
        <family val="2"/>
      </rPr>
      <t xml:space="preserve">＋ 変換後 </t>
    </r>
    <r>
      <rPr>
        <sz val="9"/>
        <color rgb="FF666666"/>
        <rFont val="Arial"/>
        <family val="0"/>
        <charset val="1"/>
      </rPr>
      <t xml:space="preserve">12MB</t>
    </r>
  </si>
  <si>
    <t xml:space="preserve">初期カタログ曲数</t>
  </si>
  <si>
    <r>
      <rPr>
        <sz val="9"/>
        <color rgb="FF666666"/>
        <rFont val="Arial"/>
        <family val="0"/>
        <charset val="1"/>
      </rPr>
      <t xml:space="preserve">Phase 1 </t>
    </r>
    <r>
      <rPr>
        <sz val="9"/>
        <color rgb="FF666666"/>
        <rFont val="WenQuanYi Zen Hei"/>
        <family val="2"/>
      </rPr>
      <t xml:space="preserve">の完了条件</t>
    </r>
  </si>
  <si>
    <t xml:space="preserve">月間追加曲数</t>
  </si>
  <si>
    <t xml:space="preserve">創作者の供給ペース</t>
  </si>
  <si>
    <r>
      <rPr>
        <sz val="10"/>
        <rFont val="WenQuanYi Zen Hei"/>
        <family val="2"/>
      </rPr>
      <t xml:space="preserve">固定インフラ費（</t>
    </r>
    <r>
      <rPr>
        <sz val="10"/>
        <rFont val="Arial"/>
        <family val="0"/>
        <charset val="1"/>
      </rPr>
      <t xml:space="preserve">USD/</t>
    </r>
    <r>
      <rPr>
        <sz val="10"/>
        <rFont val="WenQuanYi Zen Hei"/>
        <family val="2"/>
      </rPr>
      <t xml:space="preserve">月）</t>
    </r>
  </si>
  <si>
    <r>
      <rPr>
        <sz val="9"/>
        <color rgb="FF666666"/>
        <rFont val="Arial"/>
        <family val="0"/>
        <charset val="1"/>
      </rPr>
      <t xml:space="preserve">Postgres</t>
    </r>
    <r>
      <rPr>
        <sz val="9"/>
        <color rgb="FF666666"/>
        <rFont val="WenQuanYi Zen Hei"/>
        <family val="2"/>
      </rPr>
      <t xml:space="preserve">・</t>
    </r>
    <r>
      <rPr>
        <sz val="9"/>
        <color rgb="FF666666"/>
        <rFont val="Arial"/>
        <family val="0"/>
        <charset val="1"/>
      </rPr>
      <t xml:space="preserve">Meilisearch</t>
    </r>
    <r>
      <rPr>
        <sz val="9"/>
        <color rgb="FF666666"/>
        <rFont val="WenQuanYi Zen Hei"/>
        <family val="2"/>
      </rPr>
      <t xml:space="preserve">・</t>
    </r>
    <r>
      <rPr>
        <sz val="9"/>
        <color rgb="FF666666"/>
        <rFont val="Arial"/>
        <family val="0"/>
        <charset val="1"/>
      </rPr>
      <t xml:space="preserve">ClickHouse</t>
    </r>
  </si>
  <si>
    <r>
      <rPr>
        <sz val="10"/>
        <rFont val="WenQuanYi Zen Hei"/>
        <family val="2"/>
      </rPr>
      <t xml:space="preserve">変換費（</t>
    </r>
    <r>
      <rPr>
        <sz val="10"/>
        <rFont val="Arial"/>
        <family val="0"/>
        <charset val="1"/>
      </rPr>
      <t xml:space="preserve">USD/1000</t>
    </r>
    <r>
      <rPr>
        <sz val="10"/>
        <rFont val="WenQuanYi Zen Hei"/>
        <family val="2"/>
      </rPr>
      <t xml:space="preserve">曲）</t>
    </r>
  </si>
  <si>
    <r>
      <rPr>
        <sz val="9"/>
        <color rgb="FF666666"/>
        <rFont val="Arial"/>
        <family val="0"/>
        <charset val="1"/>
      </rPr>
      <t xml:space="preserve">ffmpeg </t>
    </r>
    <r>
      <rPr>
        <sz val="9"/>
        <color rgb="FF666666"/>
        <rFont val="WenQuanYi Zen Hei"/>
        <family val="2"/>
      </rPr>
      <t xml:space="preserve">スポットインスタンス</t>
    </r>
  </si>
  <si>
    <t xml:space="preserve">凡例</t>
  </si>
  <si>
    <t xml:space="preserve">青字＋黄色背景</t>
  </si>
  <si>
    <t xml:space="preserve">手入力の前提値（ここだけ編集）</t>
  </si>
  <si>
    <t xml:space="preserve">黒字</t>
  </si>
  <si>
    <t xml:space="preserve">数式による計算結果</t>
  </si>
  <si>
    <t xml:space="preserve">緑字</t>
  </si>
  <si>
    <t xml:space="preserve">他シートへの参照</t>
  </si>
  <si>
    <r>
      <rPr>
        <b val="true"/>
        <sz val="14"/>
        <rFont val="WenQuanYi Zen Hei"/>
        <family val="2"/>
      </rPr>
      <t xml:space="preserve">単位経済（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店舗あたり・月次）</t>
    </r>
  </si>
  <si>
    <r>
      <rPr>
        <i val="true"/>
        <sz val="10"/>
        <color rgb="FF666666"/>
        <rFont val="WenQuanYi Zen Hei"/>
        <family val="2"/>
      </rPr>
      <t xml:space="preserve">税込価格から消費税と決済手数料を引き、残りの </t>
    </r>
    <r>
      <rPr>
        <i val="true"/>
        <sz val="10"/>
        <color rgb="FF666666"/>
        <rFont val="Arial"/>
        <family val="0"/>
        <charset val="1"/>
      </rPr>
      <t xml:space="preserve">45% </t>
    </r>
    <r>
      <rPr>
        <i val="true"/>
        <sz val="10"/>
        <color rgb="FF666666"/>
        <rFont val="WenQuanYi Zen Hei"/>
        <family val="2"/>
      </rPr>
      <t xml:space="preserve">を創作者に分配した後の手取り。</t>
    </r>
  </si>
  <si>
    <t xml:space="preserve">Standard</t>
  </si>
  <si>
    <t xml:space="preserve">Custom</t>
  </si>
  <si>
    <t xml:space="preserve">加重平均</t>
  </si>
  <si>
    <t xml:space="preserve">計算の説明</t>
  </si>
  <si>
    <t xml:space="preserve">表示価格（税込）</t>
  </si>
  <si>
    <r>
      <rPr>
        <sz val="9"/>
        <color rgb="FF666666"/>
        <rFont val="WenQuanYi Zen Hei"/>
        <family val="2"/>
      </rPr>
      <t xml:space="preserve">前提条件 </t>
    </r>
    <r>
      <rPr>
        <sz val="9"/>
        <color rgb="FF666666"/>
        <rFont val="Arial"/>
        <family val="0"/>
        <charset val="1"/>
      </rPr>
      <t xml:space="preserve">A </t>
    </r>
    <r>
      <rPr>
        <sz val="9"/>
        <color rgb="FF666666"/>
        <rFont val="WenQuanYi Zen Hei"/>
        <family val="2"/>
      </rPr>
      <t xml:space="preserve">より</t>
    </r>
  </si>
  <si>
    <t xml:space="preserve">実効単価（年払い割引後・税込）</t>
  </si>
  <si>
    <r>
      <rPr>
        <sz val="9"/>
        <color rgb="FF666666"/>
        <rFont val="WenQuanYi Zen Hei"/>
        <family val="2"/>
      </rPr>
      <t xml:space="preserve">年払い顧客比率 </t>
    </r>
    <r>
      <rPr>
        <sz val="9"/>
        <color rgb="FF666666"/>
        <rFont val="Arial"/>
        <family val="0"/>
        <charset val="1"/>
      </rPr>
      <t xml:space="preserve">× </t>
    </r>
    <r>
      <rPr>
        <sz val="9"/>
        <color rgb="FF666666"/>
        <rFont val="WenQuanYi Zen Hei"/>
        <family val="2"/>
      </rPr>
      <t xml:space="preserve">割引率の分だけ低下</t>
    </r>
  </si>
  <si>
    <t xml:space="preserve">消費税控除後（税抜売上）</t>
  </si>
  <si>
    <t xml:space="preserve">総額表示のため税込単価から割り戻す</t>
  </si>
  <si>
    <r>
      <rPr>
        <sz val="10"/>
        <rFont val="Arial"/>
        <family val="0"/>
        <charset val="1"/>
      </rPr>
      <t xml:space="preserve">Stripe </t>
    </r>
    <r>
      <rPr>
        <sz val="10"/>
        <rFont val="WenQuanYi Zen Hei"/>
        <family val="2"/>
      </rPr>
      <t xml:space="preserve">手数料</t>
    </r>
  </si>
  <si>
    <t xml:space="preserve">税込金額に対して課金される</t>
  </si>
  <si>
    <t xml:space="preserve">純売上</t>
  </si>
  <si>
    <r>
      <rPr>
        <sz val="9"/>
        <color rgb="FF666666"/>
        <rFont val="WenQuanYi Zen Hei"/>
        <family val="2"/>
      </rPr>
      <t xml:space="preserve">分配プールの計算基礎（設計書 </t>
    </r>
    <r>
      <rPr>
        <sz val="9"/>
        <color rgb="FF666666"/>
        <rFont val="Arial"/>
        <family val="0"/>
        <charset val="1"/>
      </rPr>
      <t xml:space="preserve">08 </t>
    </r>
    <r>
      <rPr>
        <sz val="9"/>
        <color rgb="FF666666"/>
        <rFont val="WenQuanYi Zen Hei"/>
        <family val="2"/>
      </rPr>
      <t xml:space="preserve">の定義）</t>
    </r>
  </si>
  <si>
    <t xml:space="preserve">創作者分配プール</t>
  </si>
  <si>
    <r>
      <rPr>
        <sz val="9"/>
        <color rgb="FF666666"/>
        <rFont val="WenQuanYi Zen Hei"/>
        <family val="2"/>
      </rPr>
      <t xml:space="preserve">純売上 </t>
    </r>
    <r>
      <rPr>
        <sz val="9"/>
        <color rgb="FF666666"/>
        <rFont val="Arial"/>
        <family val="0"/>
        <charset val="1"/>
      </rPr>
      <t xml:space="preserve">× </t>
    </r>
    <r>
      <rPr>
        <sz val="9"/>
        <color rgb="FF666666"/>
        <rFont val="WenQuanYi Zen Hei"/>
        <family val="2"/>
      </rPr>
      <t xml:space="preserve">分配率</t>
    </r>
  </si>
  <si>
    <r>
      <rPr>
        <b val="true"/>
        <sz val="10"/>
        <rFont val="WenQuanYi Zen Hei"/>
        <family val="2"/>
      </rPr>
      <t xml:space="preserve">貢献利益（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店舗・月）</t>
    </r>
  </si>
  <si>
    <t xml:space="preserve">固定費を回収する原資</t>
  </si>
  <si>
    <t xml:space="preserve">貢献利益率（対 表示価格）</t>
  </si>
  <si>
    <r>
      <rPr>
        <sz val="9"/>
        <color rgb="FF666666"/>
        <rFont val="WenQuanYi Zen Hei"/>
        <family val="2"/>
      </rPr>
      <t xml:space="preserve">税込売上のうち手元に残る割合。</t>
    </r>
    <r>
      <rPr>
        <sz val="9"/>
        <color rgb="FF666666"/>
        <rFont val="Arial"/>
        <family val="0"/>
        <charset val="1"/>
      </rPr>
      <t xml:space="preserve">50% </t>
    </r>
    <r>
      <rPr>
        <sz val="9"/>
        <color rgb="FF666666"/>
        <rFont val="WenQuanYi Zen Hei"/>
        <family val="2"/>
      </rPr>
      <t xml:space="preserve">を切る点が本モデル最大の制約</t>
    </r>
  </si>
  <si>
    <t xml:space="preserve">顧客生涯価値</t>
  </si>
  <si>
    <t xml:space="preserve">平均継続月数</t>
  </si>
  <si>
    <r>
      <rPr>
        <sz val="9"/>
        <color rgb="FF666666"/>
        <rFont val="Arial"/>
        <family val="0"/>
        <charset val="1"/>
      </rPr>
      <t xml:space="preserve">1 ÷ </t>
    </r>
    <r>
      <rPr>
        <sz val="9"/>
        <color rgb="FF666666"/>
        <rFont val="WenQuanYi Zen Hei"/>
        <family val="2"/>
      </rPr>
      <t xml:space="preserve">月次解約率</t>
    </r>
  </si>
  <si>
    <r>
      <rPr>
        <b val="true"/>
        <sz val="10"/>
        <rFont val="Arial"/>
        <family val="0"/>
        <charset val="1"/>
      </rPr>
      <t xml:space="preserve">LTV</t>
    </r>
    <r>
      <rPr>
        <b val="true"/>
        <sz val="10"/>
        <rFont val="WenQuanYi Zen Hei"/>
        <family val="2"/>
      </rPr>
      <t xml:space="preserve">（貢献利益ベース）</t>
    </r>
  </si>
  <si>
    <t xml:space="preserve">分配プール控除後の貢献利益で算出（売上ベースではない）</t>
  </si>
  <si>
    <t xml:space="preserve">CAC</t>
  </si>
  <si>
    <r>
      <rPr>
        <sz val="9"/>
        <color rgb="FF666666"/>
        <rFont val="WenQuanYi Zen Hei"/>
        <family val="2"/>
      </rPr>
      <t xml:space="preserve">前提条件 </t>
    </r>
    <r>
      <rPr>
        <sz val="9"/>
        <color rgb="FF666666"/>
        <rFont val="Arial"/>
        <family val="0"/>
        <charset val="1"/>
      </rPr>
      <t xml:space="preserve">E </t>
    </r>
    <r>
      <rPr>
        <sz val="9"/>
        <color rgb="FF666666"/>
        <rFont val="WenQuanYi Zen Hei"/>
        <family val="2"/>
      </rPr>
      <t xml:space="preserve">より</t>
    </r>
  </si>
  <si>
    <t xml:space="preserve">LTV / CAC</t>
  </si>
  <si>
    <r>
      <rPr>
        <sz val="9"/>
        <color rgb="FF666666"/>
        <rFont val="WenQuanYi Zen Hei"/>
        <family val="2"/>
      </rPr>
      <t xml:space="preserve">健全水準は </t>
    </r>
    <r>
      <rPr>
        <sz val="9"/>
        <color rgb="FF666666"/>
        <rFont val="Arial"/>
        <family val="0"/>
        <charset val="1"/>
      </rPr>
      <t xml:space="preserve">3.0x </t>
    </r>
    <r>
      <rPr>
        <sz val="9"/>
        <color rgb="FF666666"/>
        <rFont val="WenQuanYi Zen Hei"/>
        <family val="2"/>
      </rPr>
      <t xml:space="preserve">以上。下回る場合は価格・解約率・</t>
    </r>
    <r>
      <rPr>
        <sz val="9"/>
        <color rgb="FF666666"/>
        <rFont val="Arial"/>
        <family val="0"/>
        <charset val="1"/>
      </rPr>
      <t xml:space="preserve">CAC </t>
    </r>
    <r>
      <rPr>
        <sz val="9"/>
        <color rgb="FF666666"/>
        <rFont val="WenQuanYi Zen Hei"/>
        <family val="2"/>
      </rPr>
      <t xml:space="preserve">のいずれかを改善する</t>
    </r>
  </si>
  <si>
    <r>
      <rPr>
        <b val="true"/>
        <sz val="10"/>
        <rFont val="Arial"/>
        <family val="0"/>
        <charset val="1"/>
      </rPr>
      <t xml:space="preserve">CAC </t>
    </r>
    <r>
      <rPr>
        <b val="true"/>
        <sz val="10"/>
        <rFont val="WenQuanYi Zen Hei"/>
        <family val="2"/>
      </rPr>
      <t xml:space="preserve">回収期間（月）</t>
    </r>
  </si>
  <si>
    <r>
      <rPr>
        <sz val="9"/>
        <color rgb="FF666666"/>
        <rFont val="Arial"/>
        <family val="0"/>
        <charset val="1"/>
      </rPr>
      <t xml:space="preserve">12</t>
    </r>
    <r>
      <rPr>
        <sz val="9"/>
        <color rgb="FF666666"/>
        <rFont val="WenQuanYi Zen Hei"/>
        <family val="2"/>
      </rPr>
      <t xml:space="preserve">ヶ月以内が目安</t>
    </r>
  </si>
  <si>
    <t xml:space="preserve">判定</t>
  </si>
  <si>
    <r>
      <rPr>
        <sz val="9"/>
        <color rgb="FF666666"/>
        <rFont val="Arial"/>
        <family val="0"/>
        <charset val="1"/>
      </rPr>
      <t xml:space="preserve">LTV/CAC </t>
    </r>
    <r>
      <rPr>
        <sz val="9"/>
        <color rgb="FF666666"/>
        <rFont val="WenQuanYi Zen Hei"/>
        <family val="2"/>
      </rPr>
      <t xml:space="preserve">が </t>
    </r>
    <r>
      <rPr>
        <sz val="9"/>
        <color rgb="FF666666"/>
        <rFont val="Arial"/>
        <family val="0"/>
        <charset val="1"/>
      </rPr>
      <t xml:space="preserve">3.0x </t>
    </r>
    <r>
      <rPr>
        <sz val="9"/>
        <color rgb="FF666666"/>
        <rFont val="WenQuanYi Zen Hei"/>
        <family val="2"/>
      </rPr>
      <t xml:space="preserve">未満のとき「要改善」。損益分岐点シートの感応度表で改善余地を確認する。</t>
    </r>
  </si>
  <si>
    <r>
      <rPr>
        <b val="true"/>
        <sz val="10"/>
        <rFont val="WenQuanYi Zen Hei"/>
        <family val="2"/>
      </rPr>
      <t xml:space="preserve">参考：</t>
    </r>
    <r>
      <rPr>
        <b val="true"/>
        <sz val="10"/>
        <rFont val="Arial"/>
        <family val="0"/>
        <charset val="1"/>
      </rPr>
      <t xml:space="preserve">JASRAC BGM </t>
    </r>
    <r>
      <rPr>
        <b val="true"/>
        <sz val="10"/>
        <rFont val="WenQuanYi Zen Hei"/>
        <family val="2"/>
      </rPr>
      <t xml:space="preserve">使用料（店舗が現在負担している著作権料）</t>
    </r>
  </si>
  <si>
    <t xml:space="preserve">店舗面積</t>
  </si>
  <si>
    <t xml:space="preserve">年額（税別）</t>
  </si>
  <si>
    <t xml:space="preserve">月換算</t>
  </si>
  <si>
    <r>
      <rPr>
        <sz val="10"/>
        <rFont val="Arial"/>
        <family val="0"/>
        <charset val="1"/>
      </rPr>
      <t xml:space="preserve">500</t>
    </r>
    <r>
      <rPr>
        <sz val="10"/>
        <rFont val="WenQuanYi Zen Hei"/>
        <family val="2"/>
      </rPr>
      <t xml:space="preserve">㎡以下</t>
    </r>
  </si>
  <si>
    <r>
      <rPr>
        <sz val="10"/>
        <rFont val="Arial"/>
        <family val="0"/>
        <charset val="1"/>
      </rPr>
      <t xml:space="preserve">1,000</t>
    </r>
    <r>
      <rPr>
        <sz val="10"/>
        <rFont val="WenQuanYi Zen Hei"/>
        <family val="2"/>
      </rPr>
      <t xml:space="preserve">㎡以下</t>
    </r>
  </si>
  <si>
    <r>
      <rPr>
        <sz val="10"/>
        <rFont val="Arial"/>
        <family val="0"/>
        <charset val="1"/>
      </rPr>
      <t xml:space="preserve">3,000</t>
    </r>
    <r>
      <rPr>
        <sz val="10"/>
        <rFont val="WenQuanYi Zen Hei"/>
        <family val="2"/>
      </rPr>
      <t xml:space="preserve">㎡以下</t>
    </r>
  </si>
  <si>
    <r>
      <rPr>
        <sz val="10"/>
        <rFont val="Arial"/>
        <family val="0"/>
        <charset val="1"/>
      </rPr>
      <t xml:space="preserve">6,000</t>
    </r>
    <r>
      <rPr>
        <sz val="10"/>
        <rFont val="WenQuanYi Zen Hei"/>
        <family val="2"/>
      </rPr>
      <t xml:space="preserve">㎡以下</t>
    </r>
  </si>
  <si>
    <r>
      <rPr>
        <sz val="10"/>
        <rFont val="Arial"/>
        <family val="0"/>
        <charset val="1"/>
      </rPr>
      <t xml:space="preserve">9,000</t>
    </r>
    <r>
      <rPr>
        <sz val="10"/>
        <rFont val="WenQuanYi Zen Hei"/>
        <family val="2"/>
      </rPr>
      <t xml:space="preserve">㎡以下</t>
    </r>
  </si>
  <si>
    <r>
      <rPr>
        <sz val="10"/>
        <rFont val="Arial"/>
        <family val="0"/>
        <charset val="1"/>
      </rPr>
      <t xml:space="preserve">9,000</t>
    </r>
    <r>
      <rPr>
        <sz val="10"/>
        <rFont val="WenQuanYi Zen Hei"/>
        <family val="2"/>
      </rPr>
      <t xml:space="preserve">㎡超</t>
    </r>
  </si>
  <si>
    <r>
      <rPr>
        <sz val="9"/>
        <color rgb="FF666666"/>
        <rFont val="WenQuanYi Zen Hei"/>
        <family val="2"/>
      </rPr>
      <t xml:space="preserve">出典</t>
    </r>
    <r>
      <rPr>
        <sz val="9"/>
        <color rgb="FF666666"/>
        <rFont val="Arial"/>
        <family val="0"/>
        <charset val="1"/>
      </rPr>
      <t xml:space="preserve">: JASRAC </t>
    </r>
    <r>
      <rPr>
        <sz val="9"/>
        <color rgb="FF666666"/>
        <rFont val="WenQuanYi Zen Hei"/>
        <family val="2"/>
      </rPr>
      <t xml:space="preserve">公式 </t>
    </r>
    <r>
      <rPr>
        <sz val="9"/>
        <color rgb="FF666666"/>
        <rFont val="Arial"/>
        <family val="0"/>
        <charset val="1"/>
      </rPr>
      <t xml:space="preserve">FAQ</t>
    </r>
    <r>
      <rPr>
        <sz val="9"/>
        <color rgb="FF666666"/>
        <rFont val="WenQuanYi Zen Hei"/>
        <family val="2"/>
      </rPr>
      <t xml:space="preserve">・使用料規程 第</t>
    </r>
    <r>
      <rPr>
        <sz val="9"/>
        <color rgb="FF666666"/>
        <rFont val="Arial"/>
        <family val="0"/>
        <charset val="1"/>
      </rPr>
      <t xml:space="preserve">12</t>
    </r>
    <r>
      <rPr>
        <sz val="9"/>
        <color rgb="FF666666"/>
        <rFont val="WenQuanYi Zen Hei"/>
        <family val="2"/>
      </rPr>
      <t xml:space="preserve">節 </t>
    </r>
    <r>
      <rPr>
        <sz val="9"/>
        <color rgb="FF666666"/>
        <rFont val="Arial"/>
        <family val="0"/>
        <charset val="1"/>
      </rPr>
      <t xml:space="preserve">BGM</t>
    </r>
  </si>
  <si>
    <r>
      <rPr>
        <sz val="9"/>
        <color rgb="FF666666"/>
        <rFont val="WenQuanYi Zen Hei"/>
        <family val="2"/>
      </rPr>
      <t xml:space="preserve">小規模店舗では月換算 </t>
    </r>
    <r>
      <rPr>
        <sz val="9"/>
        <color rgb="FF666666"/>
        <rFont val="Arial"/>
        <family val="0"/>
        <charset val="1"/>
      </rPr>
      <t xml:space="preserve">¥500 </t>
    </r>
    <r>
      <rPr>
        <sz val="9"/>
        <color rgb="FF666666"/>
        <rFont val="WenQuanYi Zen Hei"/>
        <family val="2"/>
      </rPr>
      <t xml:space="preserve">程度にすぎず、「</t>
    </r>
    <r>
      <rPr>
        <sz val="9"/>
        <color rgb="FF666666"/>
        <rFont val="Arial"/>
        <family val="0"/>
        <charset val="1"/>
      </rPr>
      <t xml:space="preserve">JASRAC </t>
    </r>
    <r>
      <rPr>
        <sz val="9"/>
        <color rgb="FF666666"/>
        <rFont val="WenQuanYi Zen Hei"/>
        <family val="2"/>
      </rPr>
      <t xml:space="preserve">節約」は訴求点にならない。</t>
    </r>
  </si>
  <si>
    <r>
      <rPr>
        <b val="true"/>
        <sz val="14"/>
        <rFont val="Arial"/>
        <family val="0"/>
        <charset val="1"/>
      </rPr>
      <t xml:space="preserve">36</t>
    </r>
    <r>
      <rPr>
        <b val="true"/>
        <sz val="14"/>
        <rFont val="WenQuanYi Zen Hei"/>
        <family val="2"/>
      </rPr>
      <t xml:space="preserve">ヶ月 月次予測</t>
    </r>
  </si>
  <si>
    <t xml:space="preserve">前提条件シートの数値をすべて参照。数字を変えると全期間が再計算される。</t>
  </si>
  <si>
    <t xml:space="preserve">月</t>
  </si>
  <si>
    <t xml:space="preserve">店舗数</t>
  </si>
  <si>
    <t xml:space="preserve">期首店舗数</t>
  </si>
  <si>
    <t xml:space="preserve">新規獲得</t>
  </si>
  <si>
    <t xml:space="preserve">解約</t>
  </si>
  <si>
    <t xml:space="preserve">期末店舗数</t>
  </si>
  <si>
    <t xml:space="preserve">平均店舗数</t>
  </si>
  <si>
    <t xml:space="preserve">損益</t>
  </si>
  <si>
    <t xml:space="preserve">売上（税込）</t>
  </si>
  <si>
    <t xml:space="preserve">消費税</t>
  </si>
  <si>
    <t xml:space="preserve">創作者分配</t>
  </si>
  <si>
    <t xml:space="preserve">貢献利益</t>
  </si>
  <si>
    <t xml:space="preserve">費用</t>
  </si>
  <si>
    <t xml:space="preserve">カタログ曲数</t>
  </si>
  <si>
    <r>
      <rPr>
        <sz val="10"/>
        <rFont val="WenQuanYi Zen Hei"/>
        <family val="2"/>
      </rPr>
      <t xml:space="preserve">ストレージ（</t>
    </r>
    <r>
      <rPr>
        <sz val="10"/>
        <rFont val="Arial"/>
        <family val="0"/>
        <charset val="1"/>
      </rPr>
      <t xml:space="preserve">GB</t>
    </r>
    <r>
      <rPr>
        <sz val="10"/>
        <rFont val="WenQuanYi Zen Hei"/>
        <family val="2"/>
      </rPr>
      <t xml:space="preserve">）</t>
    </r>
  </si>
  <si>
    <t xml:space="preserve">インフラ費</t>
  </si>
  <si>
    <t xml:space="preserve">人件費</t>
  </si>
  <si>
    <t xml:space="preserve">その他固定費・法務</t>
  </si>
  <si>
    <t xml:space="preserve">顧客獲得費</t>
  </si>
  <si>
    <t xml:space="preserve">費用合計</t>
  </si>
  <si>
    <t xml:space="preserve">営業利益</t>
  </si>
  <si>
    <t xml:space="preserve">累積営業利益</t>
  </si>
  <si>
    <r>
      <rPr>
        <sz val="10"/>
        <rFont val="Arial"/>
        <family val="0"/>
        <charset val="1"/>
      </rPr>
      <t xml:space="preserve">MRR</t>
    </r>
    <r>
      <rPr>
        <sz val="10"/>
        <rFont val="WenQuanYi Zen Hei"/>
        <family val="2"/>
      </rPr>
      <t xml:space="preserve">（税込）</t>
    </r>
  </si>
  <si>
    <r>
      <rPr>
        <sz val="10"/>
        <rFont val="Arial"/>
        <family val="0"/>
        <charset val="1"/>
      </rPr>
      <t xml:space="preserve">ARR</t>
    </r>
    <r>
      <rPr>
        <sz val="10"/>
        <rFont val="WenQuanYi Zen Hei"/>
        <family val="2"/>
      </rPr>
      <t xml:space="preserve">（税込・年換算）</t>
    </r>
  </si>
  <si>
    <t xml:space="preserve">サマリー</t>
  </si>
  <si>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ヶ月後の店舗数</t>
    </r>
  </si>
  <si>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ヶ月後の </t>
    </r>
    <r>
      <rPr>
        <sz val="10"/>
        <rFont val="Arial"/>
        <family val="0"/>
        <charset val="1"/>
      </rPr>
      <t xml:space="preserve">MRR</t>
    </r>
    <r>
      <rPr>
        <sz val="10"/>
        <rFont val="WenQuanYi Zen Hei"/>
        <family val="2"/>
      </rPr>
      <t xml:space="preserve">（税込）</t>
    </r>
  </si>
  <si>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ヶ月後の </t>
    </r>
    <r>
      <rPr>
        <sz val="10"/>
        <rFont val="Arial"/>
        <family val="0"/>
        <charset val="1"/>
      </rPr>
      <t xml:space="preserve">ARR</t>
    </r>
    <r>
      <rPr>
        <sz val="10"/>
        <rFont val="WenQuanYi Zen Hei"/>
        <family val="2"/>
      </rPr>
      <t xml:space="preserve">（税込）</t>
    </r>
  </si>
  <si>
    <t xml:space="preserve">単月黒字化する月</t>
  </si>
  <si>
    <t xml:space="preserve">累積黒字化する月</t>
  </si>
  <si>
    <t xml:space="preserve">累積赤字の最大額</t>
  </si>
  <si>
    <t xml:space="preserve">「累積赤字の最大額」が必要な調達額の目安（運転資本を除く）。</t>
  </si>
  <si>
    <t xml:space="preserve">損益分岐点と感応度分析</t>
  </si>
  <si>
    <t xml:space="preserve">何店舗で黒字化するか、そして前提が変わると答えがどう動くか。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</si>
  <si>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月次固定費</t>
    </r>
  </si>
  <si>
    <t xml:space="preserve">固定インフラ費</t>
  </si>
  <si>
    <t xml:space="preserve">固定費合計（月）</t>
  </si>
  <si>
    <t xml:space="preserve">ストレージ・変換費は曲数に比例するため、ここでは固定費に含めない。</t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</si>
  <si>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損益分岐点</t>
    </r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</si>
  <si>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店舗あたり貢献利益（月）</t>
    </r>
  </si>
  <si>
    <t xml:space="preserve">単位経済シートより</t>
  </si>
  <si>
    <t xml:space="preserve">損益分岐点（店舗数）</t>
  </si>
  <si>
    <t xml:space="preserve">この店舗数を超えると単月黒字（顧客獲得費を除く）。</t>
  </si>
  <si>
    <t xml:space="preserve">同・獲得費を含む場合</t>
  </si>
  <si>
    <r>
      <rPr>
        <sz val="9"/>
        <color rgb="FF666666"/>
        <rFont val="WenQuanYi Zen Hei"/>
        <family val="2"/>
      </rPr>
      <t xml:space="preserve">月次新規獲得を上限の </t>
    </r>
    <r>
      <rPr>
        <sz val="9"/>
        <color rgb="FF666666"/>
        <rFont val="Arial"/>
        <family val="0"/>
        <charset val="1"/>
      </rPr>
      <t xml:space="preserve">50% </t>
    </r>
    <r>
      <rPr>
        <sz val="9"/>
        <color rgb="FF666666"/>
        <rFont val="WenQuanYi Zen Hei"/>
        <family val="2"/>
      </rPr>
      <t xml:space="preserve">と仮定した場合の獲得費を上乗せ。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</si>
  <si>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感応度：損益分岐点の店舗数</t>
    </r>
  </si>
  <si>
    <r>
      <rPr>
        <sz val="9"/>
        <color rgb="FF666666"/>
        <rFont val="WenQuanYi Zen Hei"/>
        <family val="2"/>
      </rPr>
      <t xml:space="preserve">行 </t>
    </r>
    <r>
      <rPr>
        <sz val="9"/>
        <color rgb="FF666666"/>
        <rFont val="Arial"/>
        <family val="0"/>
        <charset val="1"/>
      </rPr>
      <t xml:space="preserve">= Standard </t>
    </r>
    <r>
      <rPr>
        <sz val="9"/>
        <color rgb="FF666666"/>
        <rFont val="WenQuanYi Zen Hei"/>
        <family val="2"/>
      </rPr>
      <t xml:space="preserve">月額（税込） </t>
    </r>
    <r>
      <rPr>
        <sz val="9"/>
        <color rgb="FF666666"/>
        <rFont val="Arial"/>
        <family val="0"/>
        <charset val="1"/>
      </rPr>
      <t xml:space="preserve">/ </t>
    </r>
    <r>
      <rPr>
        <sz val="9"/>
        <color rgb="FF666666"/>
        <rFont val="WenQuanYi Zen Hei"/>
        <family val="2"/>
      </rPr>
      <t xml:space="preserve">列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創作者分配プール率</t>
    </r>
  </si>
  <si>
    <t xml:space="preserve">月額 ＼ 分配率</t>
  </si>
  <si>
    <r>
      <rPr>
        <sz val="9"/>
        <color rgb="FF666666"/>
        <rFont val="Arial"/>
        <family val="0"/>
        <charset val="1"/>
      </rPr>
      <t xml:space="preserve">※ Standard </t>
    </r>
    <r>
      <rPr>
        <sz val="9"/>
        <color rgb="FF666666"/>
        <rFont val="WenQuanYi Zen Hei"/>
        <family val="2"/>
      </rPr>
      <t xml:space="preserve">単価のみを動かした場合。</t>
    </r>
    <r>
      <rPr>
        <sz val="9"/>
        <color rgb="FF666666"/>
        <rFont val="Arial"/>
        <family val="0"/>
        <charset val="1"/>
      </rPr>
      <t xml:space="preserve">Custom </t>
    </r>
    <r>
      <rPr>
        <sz val="9"/>
        <color rgb="FF666666"/>
        <rFont val="WenQuanYi Zen Hei"/>
        <family val="2"/>
      </rPr>
      <t xml:space="preserve">比率は前提条件のまま。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</si>
  <si>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感応度：</t>
    </r>
    <r>
      <rPr>
        <b val="true"/>
        <sz val="10"/>
        <rFont val="Arial"/>
        <family val="0"/>
        <charset val="1"/>
      </rPr>
      <t xml:space="preserve">LTV / CAC</t>
    </r>
  </si>
  <si>
    <r>
      <rPr>
        <sz val="9"/>
        <color rgb="FF666666"/>
        <rFont val="WenQuanYi Zen Hei"/>
        <family val="2"/>
      </rPr>
      <t xml:space="preserve">行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月次解約率 </t>
    </r>
    <r>
      <rPr>
        <sz val="9"/>
        <color rgb="FF666666"/>
        <rFont val="Arial"/>
        <family val="0"/>
        <charset val="1"/>
      </rPr>
      <t xml:space="preserve">/ </t>
    </r>
    <r>
      <rPr>
        <sz val="9"/>
        <color rgb="FF666666"/>
        <rFont val="WenQuanYi Zen Hei"/>
        <family val="2"/>
      </rPr>
      <t xml:space="preserve">列 </t>
    </r>
    <r>
      <rPr>
        <sz val="9"/>
        <color rgb="FF666666"/>
        <rFont val="Arial"/>
        <family val="0"/>
        <charset val="1"/>
      </rPr>
      <t xml:space="preserve">= CAC</t>
    </r>
    <r>
      <rPr>
        <sz val="9"/>
        <color rgb="FF666666"/>
        <rFont val="WenQuanYi Zen Hei"/>
        <family val="2"/>
      </rPr>
      <t xml:space="preserve">。</t>
    </r>
    <r>
      <rPr>
        <sz val="9"/>
        <color rgb="FF666666"/>
        <rFont val="Arial"/>
        <family val="0"/>
        <charset val="1"/>
      </rPr>
      <t xml:space="preserve">3.0x </t>
    </r>
    <r>
      <rPr>
        <sz val="9"/>
        <color rgb="FF666666"/>
        <rFont val="WenQuanYi Zen Hei"/>
        <family val="2"/>
      </rPr>
      <t xml:space="preserve">以上が健全水準。</t>
    </r>
  </si>
  <si>
    <r>
      <rPr>
        <b val="true"/>
        <sz val="10"/>
        <color rgb="FFFFFFFF"/>
        <rFont val="WenQuanYi Zen Hei"/>
        <family val="2"/>
      </rPr>
      <t xml:space="preserve">解約率 ＼ </t>
    </r>
    <r>
      <rPr>
        <b val="true"/>
        <sz val="10"/>
        <color rgb="FFFFFFFF"/>
        <rFont val="Arial"/>
        <family val="0"/>
        <charset val="1"/>
      </rPr>
      <t xml:space="preserve">CAC</t>
    </r>
  </si>
  <si>
    <t xml:space="preserve">※ 貢献利益は現在の前提値を使用。価格を変えた場合は上の表と併せて読むこと。</t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</si>
  <si>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人員体制別の損益分岐点</t>
    </r>
  </si>
  <si>
    <t xml:space="preserve">体制</t>
  </si>
  <si>
    <t xml:space="preserve">月次固定費</t>
  </si>
  <si>
    <t xml:space="preserve">損益分岐点（店舗）</t>
  </si>
  <si>
    <t xml:space="preserve">到達までの目安</t>
  </si>
  <si>
    <r>
      <rPr>
        <sz val="10"/>
        <rFont val="WenQuanYi Zen Hei"/>
        <family val="2"/>
      </rPr>
      <t xml:space="preserve">創業者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名のみ</t>
    </r>
  </si>
  <si>
    <t xml:space="preserve">自己資金・副業ペース</t>
  </si>
  <si>
    <r>
      <rPr>
        <sz val="10"/>
        <rFont val="WenQuanYi Zen Hei"/>
        <family val="2"/>
      </rPr>
      <t xml:space="preserve">創業者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名 ＋ 審査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名</t>
    </r>
  </si>
  <si>
    <r>
      <rPr>
        <sz val="9"/>
        <color rgb="FF666666"/>
        <rFont val="Arial"/>
        <family val="0"/>
        <charset val="1"/>
      </rPr>
      <t xml:space="preserve">Phase 1 </t>
    </r>
    <r>
      <rPr>
        <sz val="9"/>
        <color rgb="FF666666"/>
        <rFont val="WenQuanYi Zen Hei"/>
        <family val="2"/>
      </rPr>
      <t xml:space="preserve">想定</t>
    </r>
  </si>
  <si>
    <r>
      <rPr>
        <sz val="10"/>
        <rFont val="WenQuanYi Zen Hei"/>
        <family val="2"/>
      </rPr>
      <t xml:space="preserve">小規模チーム（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名）</t>
    </r>
  </si>
  <si>
    <r>
      <rPr>
        <sz val="9"/>
        <color rgb="FF666666"/>
        <rFont val="Arial"/>
        <family val="0"/>
        <charset val="1"/>
      </rPr>
      <t xml:space="preserve">Phase 2 </t>
    </r>
    <r>
      <rPr>
        <sz val="9"/>
        <color rgb="FF666666"/>
        <rFont val="WenQuanYi Zen Hei"/>
        <family val="2"/>
      </rPr>
      <t xml:space="preserve">想定</t>
    </r>
  </si>
  <si>
    <t xml:space="preserve">標準チーム（前提条件どおり）</t>
  </si>
  <si>
    <r>
      <rPr>
        <sz val="9"/>
        <color rgb="FF666666"/>
        <rFont val="Arial"/>
        <family val="0"/>
        <charset val="1"/>
      </rPr>
      <t xml:space="preserve">Phase 2</t>
    </r>
    <r>
      <rPr>
        <sz val="9"/>
        <color rgb="FF666666"/>
        <rFont val="WenQuanYi Zen Hei"/>
        <family val="2"/>
      </rPr>
      <t xml:space="preserve">〜</t>
    </r>
    <r>
      <rPr>
        <sz val="9"/>
        <color rgb="FF666666"/>
        <rFont val="Arial"/>
        <family val="0"/>
        <charset val="1"/>
      </rPr>
      <t xml:space="preserve">3 </t>
    </r>
    <r>
      <rPr>
        <sz val="9"/>
        <color rgb="FF666666"/>
        <rFont val="WenQuanYi Zen Hei"/>
        <family val="2"/>
      </rPr>
      <t xml:space="preserve">想定</t>
    </r>
  </si>
  <si>
    <r>
      <rPr>
        <sz val="10"/>
        <rFont val="WenQuanYi Zen Hei"/>
        <family val="2"/>
      </rPr>
      <t xml:space="preserve">拡大チーム（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名）</t>
    </r>
  </si>
  <si>
    <r>
      <rPr>
        <sz val="9"/>
        <color rgb="FF666666"/>
        <rFont val="Arial"/>
        <family val="0"/>
        <charset val="1"/>
      </rPr>
      <t xml:space="preserve">Phase 3 </t>
    </r>
    <r>
      <rPr>
        <sz val="9"/>
        <color rgb="FF666666"/>
        <rFont val="WenQuanYi Zen Hei"/>
        <family val="2"/>
      </rPr>
      <t xml:space="preserve">想定</t>
    </r>
  </si>
  <si>
    <t xml:space="preserve">読み方</t>
  </si>
  <si>
    <r>
      <rPr>
        <sz val="9"/>
        <color rgb="FF666666"/>
        <rFont val="WenQuanYi Zen Hei"/>
        <family val="2"/>
      </rPr>
      <t xml:space="preserve">・貢献利益率が </t>
    </r>
    <r>
      <rPr>
        <sz val="9"/>
        <color rgb="FF666666"/>
        <rFont val="Arial"/>
        <family val="0"/>
        <charset val="1"/>
      </rPr>
      <t xml:space="preserve">50% </t>
    </r>
    <r>
      <rPr>
        <sz val="9"/>
        <color rgb="FF666666"/>
        <rFont val="WenQuanYi Zen Hei"/>
        <family val="2"/>
      </rPr>
      <t xml:space="preserve">前後にとどまるため、損益分岐点の店舗数は直感より大きくなる。</t>
    </r>
  </si>
  <si>
    <t xml:space="preserve">・分配プール率を初期は低めに設定し、規模拡大後に引き上げる設計も検討に値する（ただし創作者への説明が必要）。</t>
  </si>
  <si>
    <r>
      <rPr>
        <sz val="9"/>
        <color rgb="FF666666"/>
        <rFont val="WenQuanYi Zen Hei"/>
        <family val="2"/>
      </rPr>
      <t xml:space="preserve">・価格を </t>
    </r>
    <r>
      <rPr>
        <sz val="9"/>
        <color rgb="FF666666"/>
        <rFont val="Arial"/>
        <family val="0"/>
        <charset val="1"/>
      </rPr>
      <t xml:space="preserve">¥1,980 → ¥2,980 </t>
    </r>
    <r>
      <rPr>
        <sz val="9"/>
        <color rgb="FF666666"/>
        <rFont val="WenQuanYi Zen Hei"/>
        <family val="2"/>
      </rPr>
      <t xml:space="preserve">に上げた場合の効果は、分配率を </t>
    </r>
    <r>
      <rPr>
        <sz val="9"/>
        <color rgb="FF666666"/>
        <rFont val="Arial"/>
        <family val="0"/>
        <charset val="1"/>
      </rPr>
      <t xml:space="preserve">45% → 30% </t>
    </r>
    <r>
      <rPr>
        <sz val="9"/>
        <color rgb="FF666666"/>
        <rFont val="WenQuanYi Zen Hei"/>
        <family val="2"/>
      </rPr>
      <t xml:space="preserve">に下げる効果とほぼ同等。上の表で比較できる。</t>
    </r>
  </si>
  <si>
    <r>
      <rPr>
        <b val="true"/>
        <sz val="14"/>
        <rFont val="WenQuanYi Zen Hei"/>
        <family val="2"/>
      </rPr>
      <t xml:space="preserve">競合比較（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Arial"/>
        <family val="0"/>
        <charset val="1"/>
      </rPr>
      <t xml:space="preserve">8</t>
    </r>
    <r>
      <rPr>
        <b val="true"/>
        <sz val="14"/>
        <rFont val="WenQuanYi Zen Hei"/>
        <family val="2"/>
      </rPr>
      <t xml:space="preserve">月 調査時点）</t>
    </r>
  </si>
  <si>
    <r>
      <rPr>
        <i val="true"/>
        <sz val="10"/>
        <color rgb="FF666666"/>
        <rFont val="Arial"/>
        <family val="0"/>
        <charset val="1"/>
      </rPr>
      <t xml:space="preserve">3</t>
    </r>
    <r>
      <rPr>
        <i val="true"/>
        <sz val="10"/>
        <color rgb="FF666666"/>
        <rFont val="WenQuanYi Zen Hei"/>
        <family val="2"/>
      </rPr>
      <t xml:space="preserve">年総額 </t>
    </r>
    <r>
      <rPr>
        <i val="true"/>
        <sz val="10"/>
        <color rgb="FF666666"/>
        <rFont val="Arial"/>
        <family val="0"/>
        <charset val="1"/>
      </rPr>
      <t xml:space="preserve">= </t>
    </r>
    <r>
      <rPr>
        <i val="true"/>
        <sz val="10"/>
        <color rgb="FF666666"/>
        <rFont val="WenQuanYi Zen Hei"/>
        <family val="2"/>
      </rPr>
      <t xml:space="preserve">月額 </t>
    </r>
    <r>
      <rPr>
        <i val="true"/>
        <sz val="10"/>
        <color rgb="FF666666"/>
        <rFont val="Arial"/>
        <family val="0"/>
        <charset val="1"/>
      </rPr>
      <t xml:space="preserve">× 36 </t>
    </r>
    <r>
      <rPr>
        <i val="true"/>
        <sz val="10"/>
        <color rgb="FF666666"/>
        <rFont val="WenQuanYi Zen Hei"/>
        <family val="2"/>
      </rPr>
      <t xml:space="preserve">＋ 初期費用。店舗が実際に比較するのはこの数字。</t>
    </r>
  </si>
  <si>
    <t xml:space="preserve">サービス</t>
  </si>
  <si>
    <t xml:space="preserve">月額（税込）</t>
  </si>
  <si>
    <t xml:space="preserve">初期費用</t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</si>
  <si>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年総額</t>
    </r>
  </si>
  <si>
    <r>
      <rPr>
        <b val="true"/>
        <sz val="10"/>
        <color rgb="FFFFFFFF"/>
        <rFont val="WenQuanYi Zen Hei"/>
        <family val="2"/>
      </rPr>
      <t xml:space="preserve">対 </t>
    </r>
    <r>
      <rPr>
        <b val="true"/>
        <sz val="10"/>
        <color rgb="FFFFFFFF"/>
        <rFont val="Arial"/>
        <family val="0"/>
        <charset val="1"/>
      </rPr>
      <t xml:space="preserve">Kanade </t>
    </r>
    <r>
      <rPr>
        <b val="true"/>
        <sz val="10"/>
        <color rgb="FFFFFFFF"/>
        <rFont val="WenQuanYi Zen Hei"/>
        <family val="2"/>
      </rPr>
      <t xml:space="preserve">差額</t>
    </r>
  </si>
  <si>
    <t xml:space="preserve">権利処理</t>
  </si>
  <si>
    <t xml:space="preserve">Kanade Standard</t>
  </si>
  <si>
    <t xml:space="preserve">管理外</t>
  </si>
  <si>
    <r>
      <rPr>
        <sz val="9"/>
        <color rgb="FF666666"/>
        <rFont val="WenQuanYi Zen Hei"/>
        <family val="2"/>
      </rPr>
      <t xml:space="preserve">自社。</t>
    </r>
    <r>
      <rPr>
        <sz val="9"/>
        <color rgb="FF666666"/>
        <rFont val="Arial"/>
        <family val="0"/>
        <charset val="1"/>
      </rPr>
      <t xml:space="preserve">AI </t>
    </r>
    <r>
      <rPr>
        <sz val="9"/>
        <color rgb="FF666666"/>
        <rFont val="WenQuanYi Zen Hei"/>
        <family val="2"/>
      </rPr>
      <t xml:space="preserve">生成オリジナルのみ</t>
    </r>
  </si>
  <si>
    <t xml:space="preserve">Kanade Custom</t>
  </si>
  <si>
    <t xml:space="preserve">店舗専属カタログ</t>
  </si>
  <si>
    <t xml:space="preserve">USEN MUSIC</t>
  </si>
  <si>
    <t xml:space="preserve">包括契約込</t>
  </si>
  <si>
    <r>
      <rPr>
        <sz val="9"/>
        <color rgb="FF666666"/>
        <rFont val="WenQuanYi Zen Hei"/>
        <family val="2"/>
      </rPr>
      <t xml:space="preserve">初期費用はキャンペーン価格。通常 </t>
    </r>
    <r>
      <rPr>
        <sz val="9"/>
        <color rgb="FF666666"/>
        <rFont val="Arial"/>
        <family val="0"/>
        <charset val="1"/>
      </rPr>
      <t xml:space="preserve">¥33,000</t>
    </r>
  </si>
  <si>
    <t xml:space="preserve">OTORAKU</t>
  </si>
  <si>
    <r>
      <rPr>
        <sz val="9"/>
        <color rgb="FF666666"/>
        <rFont val="Arial"/>
        <family val="0"/>
        <charset val="1"/>
      </rPr>
      <t xml:space="preserve">USEN </t>
    </r>
    <r>
      <rPr>
        <sz val="9"/>
        <color rgb="FF666666"/>
        <rFont val="WenQuanYi Zen Hei"/>
        <family val="2"/>
      </rPr>
      <t xml:space="preserve">運営。</t>
    </r>
    <r>
      <rPr>
        <sz val="9"/>
        <color rgb="FF666666"/>
        <rFont val="Arial"/>
        <family val="0"/>
        <charset val="1"/>
      </rPr>
      <t xml:space="preserve">950</t>
    </r>
    <r>
      <rPr>
        <sz val="9"/>
        <color rgb="FF666666"/>
        <rFont val="WenQuanYi Zen Hei"/>
        <family val="2"/>
      </rPr>
      <t xml:space="preserve">万曲以上</t>
    </r>
  </si>
  <si>
    <t xml:space="preserve">FaRao PRO</t>
  </si>
  <si>
    <t xml:space="preserve">初期費用は要確認</t>
  </si>
  <si>
    <t xml:space="preserve">モンスター・チャンネル</t>
  </si>
  <si>
    <r>
      <rPr>
        <sz val="9"/>
        <color rgb="FF666666"/>
        <rFont val="Arial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年プラン。月払いは </t>
    </r>
    <r>
      <rPr>
        <sz val="9"/>
        <color rgb="FF666666"/>
        <rFont val="Arial"/>
        <family val="0"/>
        <charset val="1"/>
      </rPr>
      <t xml:space="preserve">¥3,168</t>
    </r>
  </si>
  <si>
    <r>
      <rPr>
        <sz val="10"/>
        <rFont val="Arial"/>
        <family val="0"/>
        <charset val="1"/>
      </rPr>
      <t xml:space="preserve">Audiostock </t>
    </r>
    <r>
      <rPr>
        <sz val="10"/>
        <rFont val="WenQuanYi Zen Hei"/>
        <family val="2"/>
      </rPr>
      <t xml:space="preserve">店舗音楽</t>
    </r>
  </si>
  <si>
    <r>
      <rPr>
        <sz val="9"/>
        <color rgb="FF666666"/>
        <rFont val="WenQuanYi Zen Hei"/>
        <family val="2"/>
      </rPr>
      <t xml:space="preserve">月間 </t>
    </r>
    <r>
      <rPr>
        <sz val="9"/>
        <color rgb="FF666666"/>
        <rFont val="Arial"/>
        <family val="0"/>
        <charset val="1"/>
      </rPr>
      <t xml:space="preserve">5,000</t>
    </r>
    <r>
      <rPr>
        <sz val="9"/>
        <color rgb="FF666666"/>
        <rFont val="WenQuanYi Zen Hei"/>
        <family val="2"/>
      </rPr>
      <t xml:space="preserve">曲以上</t>
    </r>
  </si>
  <si>
    <t xml:space="preserve">BGMC Station</t>
  </si>
  <si>
    <t xml:space="preserve">申請不要</t>
  </si>
  <si>
    <t xml:space="preserve">著作権フリー系。曲数が限られる</t>
  </si>
  <si>
    <t xml:space="preserve">BGM House</t>
  </si>
  <si>
    <t xml:space="preserve">著作権フリー</t>
  </si>
  <si>
    <t xml:space="preserve">オリジナル中心</t>
  </si>
  <si>
    <t xml:space="preserve">らくネット</t>
  </si>
  <si>
    <r>
      <rPr>
        <sz val="9"/>
        <color rgb="FF666666"/>
        <rFont val="WenQuanYi Zen Hei"/>
        <family val="2"/>
      </rPr>
      <t xml:space="preserve">約</t>
    </r>
    <r>
      <rPr>
        <sz val="9"/>
        <color rgb="FF666666"/>
        <rFont val="Arial"/>
        <family val="0"/>
        <charset val="1"/>
      </rPr>
      <t xml:space="preserve">30ch</t>
    </r>
  </si>
  <si>
    <t xml:space="preserve">Simple BGM</t>
  </si>
  <si>
    <r>
      <rPr>
        <sz val="9"/>
        <color rgb="FF666666"/>
        <rFont val="WenQuanYi Zen Hei"/>
        <family val="2"/>
      </rPr>
      <t xml:space="preserve">最安値帯。</t>
    </r>
    <r>
      <rPr>
        <sz val="9"/>
        <color rgb="FF666666"/>
        <rFont val="Arial"/>
        <family val="0"/>
        <charset val="1"/>
      </rPr>
      <t xml:space="preserve">10</t>
    </r>
    <r>
      <rPr>
        <sz val="9"/>
        <color rgb="FF666666"/>
        <rFont val="WenQuanYi Zen Hei"/>
        <family val="2"/>
      </rPr>
      <t xml:space="preserve">万曲以上</t>
    </r>
  </si>
  <si>
    <t xml:space="preserve">※ 月額は各社公表値または代理店公開情報。契約期間・店舗規模により変動する。</t>
  </si>
  <si>
    <r>
      <rPr>
        <sz val="9"/>
        <color rgb="FF666666"/>
        <rFont val="Arial"/>
        <family val="0"/>
        <charset val="1"/>
      </rPr>
      <t xml:space="preserve">※ USEN </t>
    </r>
    <r>
      <rPr>
        <sz val="9"/>
        <color rgb="FF666666"/>
        <rFont val="WenQuanYi Zen Hei"/>
        <family val="2"/>
      </rPr>
      <t xml:space="preserve">の月額は公式サイトでは非公開。代理店公開情報による。</t>
    </r>
  </si>
  <si>
    <t xml:space="preserve">レコード演奏・伝達権 施行後の想定</t>
  </si>
  <si>
    <r>
      <rPr>
        <sz val="9"/>
        <color rgb="FF666666"/>
        <rFont val="Arial"/>
        <family val="0"/>
        <charset val="1"/>
      </rPr>
      <t xml:space="preserve">2026</t>
    </r>
    <r>
      <rPr>
        <sz val="9"/>
        <color rgb="FF666666"/>
        <rFont val="WenQuanYi Zen Hei"/>
        <family val="2"/>
      </rPr>
      <t xml:space="preserve">年</t>
    </r>
    <r>
      <rPr>
        <sz val="9"/>
        <color rgb="FF666666"/>
        <rFont val="Arial"/>
        <family val="0"/>
        <charset val="1"/>
      </rPr>
      <t xml:space="preserve">6</t>
    </r>
    <r>
      <rPr>
        <sz val="9"/>
        <color rgb="FF666666"/>
        <rFont val="WenQuanYi Zen Hei"/>
        <family val="2"/>
      </rPr>
      <t xml:space="preserve">月</t>
    </r>
    <r>
      <rPr>
        <sz val="9"/>
        <color rgb="FF666666"/>
        <rFont val="Arial"/>
        <family val="0"/>
        <charset val="1"/>
      </rPr>
      <t xml:space="preserve">24</t>
    </r>
    <r>
      <rPr>
        <sz val="9"/>
        <color rgb="FF666666"/>
        <rFont val="WenQuanYi Zen Hei"/>
        <family val="2"/>
      </rPr>
      <t xml:space="preserve">日公布、施行は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年以内（最遅 </t>
    </r>
    <r>
      <rPr>
        <sz val="9"/>
        <color rgb="FF666666"/>
        <rFont val="Arial"/>
        <family val="0"/>
        <charset val="1"/>
      </rPr>
      <t xml:space="preserve">2029</t>
    </r>
    <r>
      <rPr>
        <sz val="9"/>
        <color rgb="FF666666"/>
        <rFont val="WenQuanYi Zen Hei"/>
        <family val="2"/>
      </rPr>
      <t xml:space="preserve">年</t>
    </r>
    <r>
      <rPr>
        <sz val="9"/>
        <color rgb="FF666666"/>
        <rFont val="Arial"/>
        <family val="0"/>
        <charset val="1"/>
      </rPr>
      <t xml:space="preserve">6</t>
    </r>
    <r>
      <rPr>
        <sz val="9"/>
        <color rgb="FF666666"/>
        <rFont val="WenQuanYi Zen Hei"/>
        <family val="2"/>
      </rPr>
      <t xml:space="preserve">月）。商業用レコードを再生する店舗に新たな負担が生じる。</t>
    </r>
  </si>
  <si>
    <t xml:space="preserve">想定追加負担（月額）</t>
  </si>
  <si>
    <r>
      <rPr>
        <sz val="9"/>
        <color rgb="FF666666"/>
        <rFont val="WenQuanYi Zen Hei"/>
        <family val="2"/>
      </rPr>
      <t xml:space="preserve">指定団体の使用料規程は未公表。</t>
    </r>
    <r>
      <rPr>
        <sz val="9"/>
        <color rgb="FF666666"/>
        <rFont val="Arial"/>
        <family val="0"/>
        <charset val="1"/>
      </rPr>
      <t xml:space="preserve">JASRAC </t>
    </r>
    <r>
      <rPr>
        <sz val="9"/>
        <color rgb="FF666666"/>
        <rFont val="WenQuanYi Zen Hei"/>
        <family val="2"/>
      </rPr>
      <t xml:space="preserve">相当額を仮置きした推測値。</t>
    </r>
  </si>
  <si>
    <t xml:space="preserve">包括契約型サービスの実質月額</t>
  </si>
  <si>
    <r>
      <rPr>
        <sz val="9"/>
        <color rgb="FF666666"/>
        <rFont val="Arial"/>
        <family val="0"/>
        <charset val="1"/>
      </rPr>
      <t xml:space="preserve">USEN </t>
    </r>
    <r>
      <rPr>
        <sz val="9"/>
        <color rgb="FF666666"/>
        <rFont val="WenQuanYi Zen Hei"/>
        <family val="2"/>
      </rPr>
      <t xml:space="preserve">の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年総額を月割りし、想定追加負担を加算した値。</t>
    </r>
  </si>
  <si>
    <r>
      <rPr>
        <sz val="10"/>
        <rFont val="Arial"/>
        <family val="0"/>
        <charset val="1"/>
      </rPr>
      <t xml:space="preserve">Kanade Standard </t>
    </r>
    <r>
      <rPr>
        <sz val="10"/>
        <rFont val="WenQuanYi Zen Hei"/>
        <family val="2"/>
      </rPr>
      <t xml:space="preserve">の実質月額</t>
    </r>
  </si>
  <si>
    <t xml:space="preserve">オリジナル楽曲のみのため追加負担なし（要弁護士確認）。</t>
  </si>
  <si>
    <t xml:space="preserve">価格差の拡大</t>
  </si>
  <si>
    <t xml:space="preserve">注意</t>
  </si>
  <si>
    <r>
      <rPr>
        <sz val="9"/>
        <color rgb="FF666666"/>
        <rFont val="WenQuanYi Zen Hei"/>
        <family val="2"/>
      </rPr>
      <t xml:space="preserve">・上の追加負担 </t>
    </r>
    <r>
      <rPr>
        <sz val="9"/>
        <color rgb="FF666666"/>
        <rFont val="Arial"/>
        <family val="0"/>
        <charset val="1"/>
      </rPr>
      <t xml:space="preserve">¥500 </t>
    </r>
    <r>
      <rPr>
        <sz val="9"/>
        <color rgb="FF666666"/>
        <rFont val="WenQuanYi Zen Hei"/>
        <family val="2"/>
      </rPr>
      <t xml:space="preserve">は仮置き。指定団体の使用料規程が公表され次第、必ず実額に置き換えること。</t>
    </r>
  </si>
  <si>
    <t xml:space="preserve">・指定団体が包括徴収方式を採る場合、管理外楽曲のみを再生する店舗にも一旦請求が及ぶ可能性がある。</t>
  </si>
  <si>
    <r>
      <rPr>
        <sz val="9"/>
        <color rgb="FF666666"/>
        <rFont val="WenQuanYi Zen Hei"/>
        <family val="2"/>
      </rPr>
      <t xml:space="preserve">・その場合でも「再生ログ」と「管理外証明書」による免除申請の支援が差別化要因として残る（設計書 </t>
    </r>
    <r>
      <rPr>
        <sz val="9"/>
        <color rgb="FF666666"/>
        <rFont val="Arial"/>
        <family val="0"/>
        <charset val="1"/>
      </rPr>
      <t xml:space="preserve">10 </t>
    </r>
    <r>
      <rPr>
        <sz val="9"/>
        <color rgb="FF666666"/>
        <rFont val="WenQuanYi Zen Hei"/>
        <family val="2"/>
      </rPr>
      <t xml:space="preserve">の </t>
    </r>
    <r>
      <rPr>
        <sz val="9"/>
        <color rgb="FF666666"/>
        <rFont val="Arial"/>
        <family val="0"/>
        <charset val="1"/>
      </rPr>
      <t xml:space="preserve">R-02</t>
    </r>
    <r>
      <rPr>
        <sz val="9"/>
        <color rgb="FF666666"/>
        <rFont val="WenQuanYi Zen Hei"/>
        <family val="2"/>
      </rPr>
      <t xml:space="preserve">）。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</si>
</sst>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¥#,##0;&quot;(¥&quot;#,##0\);\-"/>
    <numFmt numFmtId="166" formatCode="0.0%"/>
    <numFmt numFmtId="167" formatCode="0.00%"/>
    <numFmt numFmtId="168" formatCode="#,##0;\(#,##0\);\-"/>
    <numFmt numFmtId="169" formatCode="0.000"/>
    <numFmt numFmtId="170" formatCode="\$#,##0;&quot;($&quot;#,##0\);\-"/>
    <numFmt numFmtId="171" formatCode="\¥#,##0.0;&quot;(¥&quot;#,##0.0\);\-"/>
    <numFmt numFmtId="172" formatCode="#,##0.0;\(#,##0.0\);\-"/>
    <numFmt numFmtId="173" formatCode="0.00\x"/>
    <numFmt numFmtId="174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i val="true"/>
      <sz val="10"/>
      <color rgb="FF666666"/>
      <name val="Arial"/>
      <family val="0"/>
      <charset val="1"/>
    </font>
    <font>
      <i val="true"/>
      <sz val="10"/>
      <color rgb="FF666666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  <font>
      <i val="true"/>
      <sz val="9"/>
      <color rgb="FFC0000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8000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2"/>
  </cols>
  <sheetData>
    <row r="2" customFormat="false" ht="19.4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7.75" hidden="false" customHeight="true" outlineLevel="0" collapsed="false">
      <c r="B6" s="3" t="s">
        <v>3</v>
      </c>
      <c r="C6" s="4" t="s">
        <v>4</v>
      </c>
    </row>
    <row r="7" customFormat="false" ht="27.75" hidden="false" customHeight="true" outlineLevel="0" collapsed="false">
      <c r="B7" s="3" t="s">
        <v>5</v>
      </c>
      <c r="C7" s="4" t="s">
        <v>6</v>
      </c>
    </row>
    <row r="8" customFormat="false" ht="27.75" hidden="false" customHeight="true" outlineLevel="0" collapsed="false">
      <c r="B8" s="3" t="s">
        <v>7</v>
      </c>
      <c r="C8" s="4" t="s">
        <v>8</v>
      </c>
    </row>
    <row r="9" customFormat="false" ht="27.75" hidden="false" customHeight="true" outlineLevel="0" collapsed="false">
      <c r="B9" s="3" t="s">
        <v>9</v>
      </c>
      <c r="C9" s="4" t="s">
        <v>10</v>
      </c>
    </row>
    <row r="11" customFormat="false" ht="15" hidden="false" customHeight="false" outlineLevel="0" collapsed="false">
      <c r="B11" s="3" t="s">
        <v>11</v>
      </c>
    </row>
    <row r="12" customFormat="false" ht="15" hidden="false" customHeight="false" outlineLevel="0" collapsed="false">
      <c r="B12" s="3" t="s">
        <v>12</v>
      </c>
      <c r="C12" s="5" t="s">
        <v>13</v>
      </c>
    </row>
    <row r="13" customFormat="false" ht="15" hidden="false" customHeight="false" outlineLevel="0" collapsed="false">
      <c r="B13" s="3" t="s">
        <v>14</v>
      </c>
      <c r="C13" s="6" t="s">
        <v>15</v>
      </c>
    </row>
    <row r="14" customFormat="false" ht="15" hidden="false" customHeight="false" outlineLevel="0" collapsed="false">
      <c r="B14" s="3" t="s">
        <v>16</v>
      </c>
      <c r="C14" s="6" t="s">
        <v>17</v>
      </c>
    </row>
    <row r="15" customFormat="false" ht="15" hidden="false" customHeight="false" outlineLevel="0" collapsed="false">
      <c r="B15" s="3" t="s">
        <v>18</v>
      </c>
      <c r="C15" s="5" t="s">
        <v>19</v>
      </c>
    </row>
    <row r="16" customFormat="false" ht="15" hidden="false" customHeight="false" outlineLevel="0" collapsed="false">
      <c r="B16" s="3" t="s">
        <v>20</v>
      </c>
      <c r="C16" s="6" t="s">
        <v>21</v>
      </c>
    </row>
    <row r="18" customFormat="false" ht="15" hidden="false" customHeight="false" outlineLevel="0" collapsed="false">
      <c r="B18" s="7" t="s">
        <v>22</v>
      </c>
    </row>
    <row r="19" customFormat="false" ht="25.5" hidden="false" customHeight="true" outlineLevel="0" collapsed="false">
      <c r="C19" s="4" t="s">
        <v>23</v>
      </c>
    </row>
    <row r="20" customFormat="false" ht="25.5" hidden="false" customHeight="true" outlineLevel="0" collapsed="false">
      <c r="C20" s="4" t="s">
        <v>24</v>
      </c>
    </row>
    <row r="21" customFormat="false" ht="25.5" hidden="false" customHeight="true" outlineLevel="0" collapsed="false">
      <c r="C21" s="4" t="s">
        <v>25</v>
      </c>
    </row>
    <row r="22" customFormat="false" ht="25.5" hidden="false" customHeight="true" outlineLevel="0" collapsed="false">
      <c r="C22" s="4" t="s">
        <v>26</v>
      </c>
    </row>
    <row r="23" customFormat="false" ht="25.5" hidden="false" customHeight="true" outlineLevel="0" collapsed="false">
      <c r="C23" s="4" t="s">
        <v>27</v>
      </c>
    </row>
    <row r="25" customFormat="false" ht="15" hidden="false" customHeight="false" outlineLevel="0" collapsed="false">
      <c r="B25" s="3" t="s">
        <v>28</v>
      </c>
    </row>
    <row r="26" customFormat="false" ht="24" hidden="false" customHeight="true" outlineLevel="0" collapsed="false">
      <c r="C26" s="8" t="s">
        <v>29</v>
      </c>
    </row>
    <row r="27" customFormat="false" ht="24" hidden="false" customHeight="true" outlineLevel="0" collapsed="false">
      <c r="C27" s="8" t="s">
        <v>30</v>
      </c>
    </row>
    <row r="28" customFormat="false" ht="24" hidden="false" customHeight="true" outlineLevel="0" collapsed="false">
      <c r="C28" s="8" t="s">
        <v>31</v>
      </c>
    </row>
    <row r="29" customFormat="false" ht="24" hidden="false" customHeight="true" outlineLevel="0" collapsed="false">
      <c r="C29" s="8" t="s">
        <v>32</v>
      </c>
    </row>
    <row r="30" customFormat="false" ht="24" hidden="false" customHeight="true" outlineLevel="0" collapsed="false">
      <c r="C30" s="8" t="s">
        <v>33</v>
      </c>
    </row>
    <row r="31" customFormat="false" ht="24" hidden="false" customHeight="true" outlineLevel="0" collapsed="false">
      <c r="C31" s="8" t="s">
        <v>34</v>
      </c>
    </row>
    <row r="32" customFormat="false" ht="24" hidden="false" customHeight="true" outlineLevel="0" collapsed="false">
      <c r="C32" s="8" t="s">
        <v>35</v>
      </c>
    </row>
    <row r="34" customFormat="false" ht="15" hidden="false" customHeight="false" outlineLevel="0" collapsed="false">
      <c r="C34" s="9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52"/>
  </cols>
  <sheetData>
    <row r="2" customFormat="false" ht="17.35" hidden="false" customHeight="false" outlineLevel="0" collapsed="false">
      <c r="B2" s="10" t="s">
        <v>12</v>
      </c>
    </row>
    <row r="3" customFormat="false" ht="15" hidden="false" customHeight="false" outlineLevel="0" collapsed="false">
      <c r="B3" s="11" t="s">
        <v>37</v>
      </c>
    </row>
    <row r="5" customFormat="false" ht="15" hidden="false" customHeight="false" outlineLevel="0" collapsed="false">
      <c r="B5" s="12" t="s">
        <v>38</v>
      </c>
      <c r="C5" s="12" t="s">
        <v>39</v>
      </c>
      <c r="D5" s="12" t="s">
        <v>40</v>
      </c>
      <c r="E5" s="12" t="s">
        <v>41</v>
      </c>
      <c r="F5" s="12" t="s">
        <v>42</v>
      </c>
      <c r="G5" s="12" t="s">
        <v>43</v>
      </c>
    </row>
    <row r="6" customFormat="false" ht="15" hidden="false" customHeight="false" outlineLevel="0" collapsed="false">
      <c r="B6" s="13" t="s">
        <v>44</v>
      </c>
      <c r="C6" s="14"/>
      <c r="D6" s="14"/>
      <c r="E6" s="14"/>
      <c r="F6" s="14"/>
      <c r="G6" s="14"/>
    </row>
    <row r="7" customFormat="false" ht="15" hidden="false" customHeight="false" outlineLevel="0" collapsed="false">
      <c r="B7" s="6" t="s">
        <v>45</v>
      </c>
      <c r="C7" s="15" t="n">
        <v>1980</v>
      </c>
      <c r="D7" s="16" t="n">
        <v>1480</v>
      </c>
      <c r="E7" s="16" t="n">
        <v>1980</v>
      </c>
      <c r="F7" s="16" t="n">
        <v>2980</v>
      </c>
      <c r="G7" s="17" t="s">
        <v>46</v>
      </c>
    </row>
    <row r="8" customFormat="false" ht="15" hidden="false" customHeight="false" outlineLevel="0" collapsed="false">
      <c r="B8" s="6" t="s">
        <v>47</v>
      </c>
      <c r="C8" s="15" t="n">
        <v>4980</v>
      </c>
      <c r="D8" s="16" t="n">
        <v>3980</v>
      </c>
      <c r="E8" s="16" t="n">
        <v>4980</v>
      </c>
      <c r="F8" s="16" t="n">
        <v>6980</v>
      </c>
      <c r="G8" s="17" t="s">
        <v>48</v>
      </c>
    </row>
    <row r="9" customFormat="false" ht="15" hidden="false" customHeight="false" outlineLevel="0" collapsed="false">
      <c r="B9" s="5" t="s">
        <v>49</v>
      </c>
      <c r="C9" s="18" t="n">
        <v>0.2</v>
      </c>
      <c r="D9" s="19" t="n">
        <v>0.2</v>
      </c>
      <c r="E9" s="19" t="n">
        <v>0.2</v>
      </c>
      <c r="F9" s="19" t="n">
        <v>0.15</v>
      </c>
      <c r="G9" s="17" t="s">
        <v>50</v>
      </c>
    </row>
    <row r="10" customFormat="false" ht="15" hidden="false" customHeight="false" outlineLevel="0" collapsed="false">
      <c r="B10" s="5" t="s">
        <v>51</v>
      </c>
      <c r="C10" s="18" t="n">
        <v>0.3</v>
      </c>
      <c r="D10" s="19" t="n">
        <v>0.15</v>
      </c>
      <c r="E10" s="19" t="n">
        <v>0.3</v>
      </c>
      <c r="F10" s="19" t="n">
        <v>0.5</v>
      </c>
      <c r="G10" s="17" t="s">
        <v>52</v>
      </c>
    </row>
    <row r="12" customFormat="false" ht="15" hidden="false" customHeight="false" outlineLevel="0" collapsed="false">
      <c r="B12" s="13" t="s">
        <v>53</v>
      </c>
      <c r="C12" s="14"/>
      <c r="D12" s="14"/>
      <c r="E12" s="14"/>
      <c r="F12" s="14"/>
      <c r="G12" s="14"/>
    </row>
    <row r="13" customFormat="false" ht="15" hidden="false" customHeight="false" outlineLevel="0" collapsed="false">
      <c r="B13" s="6" t="s">
        <v>54</v>
      </c>
      <c r="C13" s="18" t="n">
        <v>0.85</v>
      </c>
      <c r="D13" s="19" t="n">
        <v>0.92</v>
      </c>
      <c r="E13" s="19" t="n">
        <v>0.85</v>
      </c>
      <c r="F13" s="19" t="n">
        <v>0.75</v>
      </c>
      <c r="G13" s="17" t="s">
        <v>55</v>
      </c>
    </row>
    <row r="15" customFormat="false" ht="15" hidden="false" customHeight="false" outlineLevel="0" collapsed="false">
      <c r="B15" s="13" t="s">
        <v>56</v>
      </c>
      <c r="C15" s="14"/>
      <c r="D15" s="14"/>
      <c r="E15" s="14"/>
      <c r="F15" s="14"/>
      <c r="G15" s="14"/>
    </row>
    <row r="16" customFormat="false" ht="15" hidden="false" customHeight="false" outlineLevel="0" collapsed="false">
      <c r="B16" s="5" t="s">
        <v>57</v>
      </c>
      <c r="C16" s="18" t="n">
        <v>0.1</v>
      </c>
      <c r="D16" s="19" t="n">
        <v>0.1</v>
      </c>
      <c r="E16" s="19" t="n">
        <v>0.1</v>
      </c>
      <c r="F16" s="19" t="n">
        <v>0.1</v>
      </c>
      <c r="G16" s="17" t="s">
        <v>58</v>
      </c>
    </row>
    <row r="17" customFormat="false" ht="15" hidden="false" customHeight="false" outlineLevel="0" collapsed="false">
      <c r="B17" s="6" t="s">
        <v>59</v>
      </c>
      <c r="C17" s="20" t="n">
        <v>0.036</v>
      </c>
      <c r="D17" s="21" t="n">
        <v>0.036</v>
      </c>
      <c r="E17" s="21" t="n">
        <v>0.036</v>
      </c>
      <c r="F17" s="21" t="n">
        <v>0.036</v>
      </c>
      <c r="G17" s="17" t="s">
        <v>60</v>
      </c>
    </row>
    <row r="18" customFormat="false" ht="15" hidden="false" customHeight="false" outlineLevel="0" collapsed="false">
      <c r="B18" s="5" t="s">
        <v>61</v>
      </c>
      <c r="C18" s="18" t="n">
        <v>0.45</v>
      </c>
      <c r="D18" s="19" t="n">
        <v>0.45</v>
      </c>
      <c r="E18" s="19" t="n">
        <v>0.45</v>
      </c>
      <c r="F18" s="19" t="n">
        <v>0.3</v>
      </c>
      <c r="G18" s="17" t="s">
        <v>62</v>
      </c>
    </row>
    <row r="20" customFormat="false" ht="15" hidden="false" customHeight="false" outlineLevel="0" collapsed="false">
      <c r="B20" s="13" t="s">
        <v>63</v>
      </c>
      <c r="C20" s="14"/>
      <c r="D20" s="14"/>
      <c r="E20" s="14"/>
      <c r="F20" s="14"/>
      <c r="G20" s="14"/>
    </row>
    <row r="21" customFormat="false" ht="15" hidden="false" customHeight="false" outlineLevel="0" collapsed="false">
      <c r="B21" s="5" t="s">
        <v>64</v>
      </c>
      <c r="C21" s="22" t="n">
        <v>5</v>
      </c>
      <c r="D21" s="23" t="n">
        <v>3</v>
      </c>
      <c r="E21" s="23" t="n">
        <v>5</v>
      </c>
      <c r="F21" s="23" t="n">
        <v>10</v>
      </c>
      <c r="G21" s="24" t="s">
        <v>65</v>
      </c>
    </row>
    <row r="22" customFormat="false" ht="15" hidden="false" customHeight="false" outlineLevel="0" collapsed="false">
      <c r="B22" s="5" t="s">
        <v>66</v>
      </c>
      <c r="C22" s="18" t="n">
        <v>0.15</v>
      </c>
      <c r="D22" s="19" t="n">
        <v>0.08</v>
      </c>
      <c r="E22" s="19" t="n">
        <v>0.15</v>
      </c>
      <c r="F22" s="19" t="n">
        <v>0.25</v>
      </c>
      <c r="G22" s="17" t="s">
        <v>67</v>
      </c>
    </row>
    <row r="23" customFormat="false" ht="15" hidden="false" customHeight="false" outlineLevel="0" collapsed="false">
      <c r="B23" s="5" t="s">
        <v>68</v>
      </c>
      <c r="C23" s="22" t="n">
        <v>120</v>
      </c>
      <c r="D23" s="23" t="n">
        <v>60</v>
      </c>
      <c r="E23" s="23" t="n">
        <v>120</v>
      </c>
      <c r="F23" s="23" t="n">
        <v>250</v>
      </c>
      <c r="G23" s="17" t="s">
        <v>69</v>
      </c>
    </row>
    <row r="24" customFormat="false" ht="15" hidden="false" customHeight="false" outlineLevel="0" collapsed="false">
      <c r="B24" s="5" t="s">
        <v>70</v>
      </c>
      <c r="C24" s="20" t="n">
        <v>0.03</v>
      </c>
      <c r="D24" s="21" t="n">
        <v>0.05</v>
      </c>
      <c r="E24" s="21" t="n">
        <v>0.03</v>
      </c>
      <c r="F24" s="21" t="n">
        <v>0.02</v>
      </c>
      <c r="G24" s="17" t="s">
        <v>71</v>
      </c>
    </row>
    <row r="26" customFormat="false" ht="15" hidden="false" customHeight="false" outlineLevel="0" collapsed="false">
      <c r="B26" s="13" t="s">
        <v>72</v>
      </c>
      <c r="C26" s="14"/>
      <c r="D26" s="14"/>
      <c r="E26" s="14"/>
      <c r="F26" s="14"/>
      <c r="G26" s="14"/>
    </row>
    <row r="27" customFormat="false" ht="15" hidden="false" customHeight="false" outlineLevel="0" collapsed="false">
      <c r="B27" s="6" t="s">
        <v>73</v>
      </c>
      <c r="C27" s="15" t="n">
        <v>20000</v>
      </c>
      <c r="D27" s="16" t="n">
        <v>35000</v>
      </c>
      <c r="E27" s="16" t="n">
        <v>20000</v>
      </c>
      <c r="F27" s="16" t="n">
        <v>10000</v>
      </c>
      <c r="G27" s="17" t="s">
        <v>74</v>
      </c>
    </row>
    <row r="29" customFormat="false" ht="15" hidden="false" customHeight="false" outlineLevel="0" collapsed="false">
      <c r="B29" s="13" t="s">
        <v>75</v>
      </c>
      <c r="C29" s="14"/>
      <c r="D29" s="14"/>
      <c r="E29" s="14"/>
      <c r="F29" s="14"/>
      <c r="G29" s="14"/>
    </row>
    <row r="30" customFormat="false" ht="15" hidden="false" customHeight="false" outlineLevel="0" collapsed="false">
      <c r="B30" s="5" t="s">
        <v>76</v>
      </c>
      <c r="C30" s="22" t="n">
        <v>2</v>
      </c>
      <c r="D30" s="23" t="n">
        <v>3</v>
      </c>
      <c r="E30" s="23" t="n">
        <v>2</v>
      </c>
      <c r="F30" s="23" t="n">
        <v>2</v>
      </c>
      <c r="G30" s="17"/>
    </row>
    <row r="31" customFormat="false" ht="15" hidden="false" customHeight="false" outlineLevel="0" collapsed="false">
      <c r="B31" s="5" t="s">
        <v>77</v>
      </c>
      <c r="C31" s="15" t="n">
        <v>700000</v>
      </c>
      <c r="D31" s="16" t="n">
        <v>700000</v>
      </c>
      <c r="E31" s="16" t="n">
        <v>700000</v>
      </c>
      <c r="F31" s="16" t="n">
        <v>700000</v>
      </c>
      <c r="G31" s="17" t="s">
        <v>78</v>
      </c>
    </row>
    <row r="32" customFormat="false" ht="15" hidden="false" customHeight="false" outlineLevel="0" collapsed="false">
      <c r="B32" s="5" t="s">
        <v>79</v>
      </c>
      <c r="C32" s="22" t="n">
        <v>1</v>
      </c>
      <c r="D32" s="23" t="n">
        <v>2</v>
      </c>
      <c r="E32" s="23" t="n">
        <v>1</v>
      </c>
      <c r="F32" s="23" t="n">
        <v>1</v>
      </c>
      <c r="G32" s="17" t="s">
        <v>80</v>
      </c>
    </row>
    <row r="33" customFormat="false" ht="15" hidden="false" customHeight="false" outlineLevel="0" collapsed="false">
      <c r="B33" s="5" t="s">
        <v>81</v>
      </c>
      <c r="C33" s="15" t="n">
        <v>300000</v>
      </c>
      <c r="D33" s="16" t="n">
        <v>300000</v>
      </c>
      <c r="E33" s="16" t="n">
        <v>300000</v>
      </c>
      <c r="F33" s="16" t="n">
        <v>300000</v>
      </c>
      <c r="G33" s="17"/>
    </row>
    <row r="34" customFormat="false" ht="15" hidden="false" customHeight="false" outlineLevel="0" collapsed="false">
      <c r="B34" s="5" t="s">
        <v>82</v>
      </c>
      <c r="C34" s="22" t="n">
        <v>1</v>
      </c>
      <c r="D34" s="23" t="n">
        <v>2</v>
      </c>
      <c r="E34" s="23" t="n">
        <v>1</v>
      </c>
      <c r="F34" s="23" t="n">
        <v>1</v>
      </c>
      <c r="G34" s="17"/>
    </row>
    <row r="35" customFormat="false" ht="15" hidden="false" customHeight="false" outlineLevel="0" collapsed="false">
      <c r="B35" s="5" t="s">
        <v>83</v>
      </c>
      <c r="C35" s="15" t="n">
        <v>300000</v>
      </c>
      <c r="D35" s="16" t="n">
        <v>300000</v>
      </c>
      <c r="E35" s="16" t="n">
        <v>300000</v>
      </c>
      <c r="F35" s="16" t="n">
        <v>300000</v>
      </c>
      <c r="G35" s="17"/>
    </row>
    <row r="36" customFormat="false" ht="15" hidden="false" customHeight="false" outlineLevel="0" collapsed="false">
      <c r="B36" s="5" t="s">
        <v>84</v>
      </c>
      <c r="C36" s="22" t="n">
        <v>1</v>
      </c>
      <c r="D36" s="23" t="n">
        <v>2</v>
      </c>
      <c r="E36" s="23" t="n">
        <v>1</v>
      </c>
      <c r="F36" s="23" t="n">
        <v>1</v>
      </c>
      <c r="G36" s="17"/>
    </row>
    <row r="37" customFormat="false" ht="15" hidden="false" customHeight="false" outlineLevel="0" collapsed="false">
      <c r="B37" s="5" t="s">
        <v>85</v>
      </c>
      <c r="C37" s="15" t="n">
        <v>400000</v>
      </c>
      <c r="D37" s="16" t="n">
        <v>400000</v>
      </c>
      <c r="E37" s="16" t="n">
        <v>400000</v>
      </c>
      <c r="F37" s="16" t="n">
        <v>400000</v>
      </c>
      <c r="G37" s="17" t="s">
        <v>86</v>
      </c>
    </row>
    <row r="38" customFormat="false" ht="15" hidden="false" customHeight="false" outlineLevel="0" collapsed="false">
      <c r="B38" s="5" t="s">
        <v>87</v>
      </c>
      <c r="C38" s="15" t="n">
        <v>200000</v>
      </c>
      <c r="D38" s="16" t="n">
        <v>300000</v>
      </c>
      <c r="E38" s="16" t="n">
        <v>200000</v>
      </c>
      <c r="F38" s="16" t="n">
        <v>150000</v>
      </c>
      <c r="G38" s="17" t="s">
        <v>88</v>
      </c>
    </row>
    <row r="39" customFormat="false" ht="15" hidden="false" customHeight="false" outlineLevel="0" collapsed="false">
      <c r="B39" s="5" t="s">
        <v>89</v>
      </c>
      <c r="C39" s="15" t="n">
        <v>50000</v>
      </c>
      <c r="D39" s="16" t="n">
        <v>80000</v>
      </c>
      <c r="E39" s="16" t="n">
        <v>50000</v>
      </c>
      <c r="F39" s="16" t="n">
        <v>30000</v>
      </c>
      <c r="G39" s="17" t="s">
        <v>90</v>
      </c>
    </row>
    <row r="41" customFormat="false" ht="15" hidden="false" customHeight="false" outlineLevel="0" collapsed="false">
      <c r="B41" s="13" t="s">
        <v>91</v>
      </c>
      <c r="C41" s="14"/>
      <c r="D41" s="14"/>
      <c r="E41" s="14"/>
      <c r="F41" s="14"/>
      <c r="G41" s="14"/>
    </row>
    <row r="42" customFormat="false" ht="15" hidden="false" customHeight="false" outlineLevel="0" collapsed="false">
      <c r="B42" s="5" t="s">
        <v>92</v>
      </c>
      <c r="C42" s="22" t="n">
        <v>155</v>
      </c>
      <c r="D42" s="23" t="n">
        <v>165</v>
      </c>
      <c r="E42" s="23" t="n">
        <v>155</v>
      </c>
      <c r="F42" s="23" t="n">
        <v>145</v>
      </c>
      <c r="G42" s="17"/>
    </row>
    <row r="43" customFormat="false" ht="15" hidden="false" customHeight="false" outlineLevel="0" collapsed="false">
      <c r="B43" s="5" t="s">
        <v>93</v>
      </c>
      <c r="C43" s="25" t="n">
        <v>0.015</v>
      </c>
      <c r="D43" s="26" t="n">
        <v>0.015</v>
      </c>
      <c r="E43" s="26" t="n">
        <v>0.015</v>
      </c>
      <c r="F43" s="26" t="n">
        <v>0.015</v>
      </c>
      <c r="G43" s="24" t="s">
        <v>94</v>
      </c>
    </row>
    <row r="44" customFormat="false" ht="15" hidden="false" customHeight="false" outlineLevel="0" collapsed="false">
      <c r="B44" s="6" t="s">
        <v>95</v>
      </c>
      <c r="C44" s="25" t="n">
        <v>0.042</v>
      </c>
      <c r="D44" s="26" t="n">
        <v>0.042</v>
      </c>
      <c r="E44" s="26" t="n">
        <v>0.042</v>
      </c>
      <c r="F44" s="26" t="n">
        <v>0.042</v>
      </c>
      <c r="G44" s="17" t="s">
        <v>96</v>
      </c>
    </row>
    <row r="45" customFormat="false" ht="15" hidden="false" customHeight="false" outlineLevel="0" collapsed="false">
      <c r="B45" s="5" t="s">
        <v>97</v>
      </c>
      <c r="C45" s="22" t="n">
        <v>3000</v>
      </c>
      <c r="D45" s="23" t="n">
        <v>3000</v>
      </c>
      <c r="E45" s="23" t="n">
        <v>3000</v>
      </c>
      <c r="F45" s="23" t="n">
        <v>3000</v>
      </c>
      <c r="G45" s="24" t="s">
        <v>98</v>
      </c>
    </row>
    <row r="46" customFormat="false" ht="15" hidden="false" customHeight="false" outlineLevel="0" collapsed="false">
      <c r="B46" s="5" t="s">
        <v>99</v>
      </c>
      <c r="C46" s="22" t="n">
        <v>2000</v>
      </c>
      <c r="D46" s="23" t="n">
        <v>1000</v>
      </c>
      <c r="E46" s="23" t="n">
        <v>2000</v>
      </c>
      <c r="F46" s="23" t="n">
        <v>4000</v>
      </c>
      <c r="G46" s="17" t="s">
        <v>100</v>
      </c>
    </row>
    <row r="47" customFormat="false" ht="15" hidden="false" customHeight="false" outlineLevel="0" collapsed="false">
      <c r="B47" s="5" t="s">
        <v>101</v>
      </c>
      <c r="C47" s="27" t="n">
        <v>140</v>
      </c>
      <c r="D47" s="28" t="n">
        <v>140</v>
      </c>
      <c r="E47" s="28" t="n">
        <v>140</v>
      </c>
      <c r="F47" s="28" t="n">
        <v>140</v>
      </c>
      <c r="G47" s="24" t="s">
        <v>102</v>
      </c>
    </row>
    <row r="48" customFormat="false" ht="15" hidden="false" customHeight="false" outlineLevel="0" collapsed="false">
      <c r="B48" s="5" t="s">
        <v>103</v>
      </c>
      <c r="C48" s="27" t="n">
        <v>8</v>
      </c>
      <c r="D48" s="28" t="n">
        <v>8</v>
      </c>
      <c r="E48" s="28" t="n">
        <v>8</v>
      </c>
      <c r="F48" s="28" t="n">
        <v>8</v>
      </c>
      <c r="G48" s="24" t="s">
        <v>104</v>
      </c>
    </row>
    <row r="50" customFormat="false" ht="15" hidden="false" customHeight="false" outlineLevel="0" collapsed="false">
      <c r="B50" s="3" t="s">
        <v>105</v>
      </c>
    </row>
    <row r="51" customFormat="false" ht="15" hidden="false" customHeight="false" outlineLevel="0" collapsed="false">
      <c r="B51" s="29" t="s">
        <v>106</v>
      </c>
      <c r="C51" s="17" t="s">
        <v>107</v>
      </c>
    </row>
    <row r="52" customFormat="false" ht="15" hidden="false" customHeight="false" outlineLevel="0" collapsed="false">
      <c r="B52" s="5" t="s">
        <v>108</v>
      </c>
      <c r="C52" s="17" t="s">
        <v>109</v>
      </c>
    </row>
    <row r="53" customFormat="false" ht="15" hidden="false" customHeight="false" outlineLevel="0" collapsed="false">
      <c r="B53" s="30" t="s">
        <v>110</v>
      </c>
      <c r="C53" s="17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5" min="3" style="0" width="15"/>
    <col collapsed="false" customWidth="true" hidden="false" outlineLevel="0" max="6" min="6" style="0" width="50"/>
  </cols>
  <sheetData>
    <row r="2" customFormat="false" ht="19.4" hidden="false" customHeight="false" outlineLevel="0" collapsed="false">
      <c r="B2" s="10" t="s">
        <v>112</v>
      </c>
    </row>
    <row r="3" customFormat="false" ht="15" hidden="false" customHeight="false" outlineLevel="0" collapsed="false">
      <c r="B3" s="11" t="s">
        <v>113</v>
      </c>
    </row>
    <row r="5" customFormat="false" ht="15" hidden="false" customHeight="false" outlineLevel="0" collapsed="false">
      <c r="B5" s="12" t="s">
        <v>38</v>
      </c>
      <c r="C5" s="31" t="s">
        <v>114</v>
      </c>
      <c r="D5" s="31" t="s">
        <v>115</v>
      </c>
      <c r="E5" s="12" t="s">
        <v>116</v>
      </c>
      <c r="F5" s="12" t="s">
        <v>117</v>
      </c>
    </row>
    <row r="6" customFormat="false" ht="15" hidden="false" customHeight="false" outlineLevel="0" collapsed="false">
      <c r="B6" s="5" t="s">
        <v>118</v>
      </c>
      <c r="C6" s="32" t="n">
        <f aca="false">前提条件!$C$7</f>
        <v>1980</v>
      </c>
      <c r="D6" s="32" t="n">
        <f aca="false">前提条件!$C$8</f>
        <v>4980</v>
      </c>
      <c r="E6" s="32" t="n">
        <f aca="false">C6*前提条件!$C$13+D6*(1-前提条件!$C$13)</f>
        <v>2430</v>
      </c>
      <c r="F6" s="33" t="s">
        <v>119</v>
      </c>
    </row>
    <row r="7" customFormat="false" ht="15" hidden="false" customHeight="false" outlineLevel="0" collapsed="false">
      <c r="B7" s="5" t="s">
        <v>120</v>
      </c>
      <c r="C7" s="34" t="n">
        <f aca="false">前提条件!$C$7*(1-前提条件!$C$10*前提条件!$C$9)</f>
        <v>1861.2</v>
      </c>
      <c r="D7" s="34" t="n">
        <f aca="false">前提条件!$C$8*(1-前提条件!$C$10*前提条件!$C$9)</f>
        <v>4681.2</v>
      </c>
      <c r="E7" s="34" t="n">
        <f aca="false">C7*前提条件!$C$13+D7*(1-前提条件!$C$13)</f>
        <v>2284.2</v>
      </c>
      <c r="F7" s="33" t="s">
        <v>121</v>
      </c>
    </row>
    <row r="8" customFormat="false" ht="15" hidden="false" customHeight="false" outlineLevel="0" collapsed="false">
      <c r="B8" s="5" t="s">
        <v>122</v>
      </c>
      <c r="C8" s="34" t="n">
        <f aca="false">C7/(1+前提条件!$C$16)</f>
        <v>1692</v>
      </c>
      <c r="D8" s="34" t="n">
        <f aca="false">D7/(1+前提条件!$C$16)</f>
        <v>4255.63636363636</v>
      </c>
      <c r="E8" s="34" t="n">
        <f aca="false">E7/(1+前提条件!$C$16)</f>
        <v>2076.54545454545</v>
      </c>
      <c r="F8" s="33" t="s">
        <v>123</v>
      </c>
    </row>
    <row r="9" customFormat="false" ht="15" hidden="false" customHeight="false" outlineLevel="0" collapsed="false">
      <c r="B9" s="6" t="s">
        <v>124</v>
      </c>
      <c r="C9" s="34" t="n">
        <f aca="false">-C7*前提条件!$C$17</f>
        <v>-67.0032</v>
      </c>
      <c r="D9" s="34" t="n">
        <f aca="false">-D7*前提条件!$C$17</f>
        <v>-168.5232</v>
      </c>
      <c r="E9" s="34" t="n">
        <f aca="false">-E7*前提条件!$C$17</f>
        <v>-82.2312</v>
      </c>
      <c r="F9" s="33" t="s">
        <v>125</v>
      </c>
    </row>
    <row r="10" customFormat="false" ht="15" hidden="false" customHeight="false" outlineLevel="0" collapsed="false">
      <c r="B10" s="3" t="s">
        <v>126</v>
      </c>
      <c r="C10" s="35" t="n">
        <f aca="false">C8+C9</f>
        <v>1624.9968</v>
      </c>
      <c r="D10" s="35" t="n">
        <f aca="false">D8+D9</f>
        <v>4087.11316363636</v>
      </c>
      <c r="E10" s="35" t="n">
        <f aca="false">E8+E9</f>
        <v>1994.31425454545</v>
      </c>
      <c r="F10" s="33" t="s">
        <v>127</v>
      </c>
    </row>
    <row r="11" customFormat="false" ht="15" hidden="false" customHeight="false" outlineLevel="0" collapsed="false">
      <c r="B11" s="5" t="s">
        <v>128</v>
      </c>
      <c r="C11" s="34" t="n">
        <f aca="false">-C10*前提条件!$C$18</f>
        <v>-731.24856</v>
      </c>
      <c r="D11" s="34" t="n">
        <f aca="false">-D10*前提条件!$C$18</f>
        <v>-1839.20092363636</v>
      </c>
      <c r="E11" s="34" t="n">
        <f aca="false">-E10*前提条件!$C$18</f>
        <v>-897.441414545454</v>
      </c>
      <c r="F11" s="33" t="s">
        <v>129</v>
      </c>
    </row>
    <row r="12" customFormat="false" ht="15" hidden="false" customHeight="false" outlineLevel="0" collapsed="false">
      <c r="B12" s="36" t="s">
        <v>130</v>
      </c>
      <c r="C12" s="37" t="n">
        <f aca="false">C10+C11</f>
        <v>893.74824</v>
      </c>
      <c r="D12" s="37" t="n">
        <f aca="false">D10+D11</f>
        <v>2247.91224</v>
      </c>
      <c r="E12" s="37" t="n">
        <f aca="false">E10+E11</f>
        <v>1096.87284</v>
      </c>
      <c r="F12" s="33" t="s">
        <v>131</v>
      </c>
    </row>
    <row r="13" customFormat="false" ht="15" hidden="false" customHeight="false" outlineLevel="0" collapsed="false">
      <c r="B13" s="5" t="s">
        <v>132</v>
      </c>
      <c r="C13" s="38" t="n">
        <f aca="false">C12/C6</f>
        <v>0.451388</v>
      </c>
      <c r="D13" s="38" t="n">
        <f aca="false">D12/D6</f>
        <v>0.451388</v>
      </c>
      <c r="E13" s="38" t="n">
        <f aca="false">E12/E6</f>
        <v>0.451388</v>
      </c>
      <c r="F13" s="33" t="s">
        <v>133</v>
      </c>
    </row>
    <row r="15" customFormat="false" ht="15" hidden="false" customHeight="false" outlineLevel="0" collapsed="false">
      <c r="B15" s="36" t="s">
        <v>134</v>
      </c>
      <c r="C15" s="14"/>
      <c r="D15" s="14"/>
      <c r="E15" s="14"/>
      <c r="F15" s="14"/>
    </row>
    <row r="16" customFormat="false" ht="15" hidden="false" customHeight="false" outlineLevel="0" collapsed="false">
      <c r="B16" s="5" t="s">
        <v>135</v>
      </c>
      <c r="C16" s="39" t="n">
        <f aca="false">1/前提条件!$C$24</f>
        <v>33.3333333333333</v>
      </c>
      <c r="D16" s="39" t="n">
        <f aca="false">1/前提条件!$C$24</f>
        <v>33.3333333333333</v>
      </c>
      <c r="E16" s="39" t="n">
        <f aca="false">1/前提条件!$C$24</f>
        <v>33.3333333333333</v>
      </c>
      <c r="F16" s="40" t="s">
        <v>136</v>
      </c>
    </row>
    <row r="17" customFormat="false" ht="15" hidden="false" customHeight="false" outlineLevel="0" collapsed="false">
      <c r="B17" s="41" t="s">
        <v>137</v>
      </c>
      <c r="C17" s="42" t="n">
        <f aca="false">C12*C16</f>
        <v>29791.608</v>
      </c>
      <c r="D17" s="42" t="n">
        <f aca="false">D12*D16</f>
        <v>74930.408</v>
      </c>
      <c r="E17" s="42" t="n">
        <f aca="false">E12*E16</f>
        <v>36562.428</v>
      </c>
      <c r="F17" s="33" t="s">
        <v>138</v>
      </c>
    </row>
    <row r="18" customFormat="false" ht="15" hidden="false" customHeight="false" outlineLevel="0" collapsed="false">
      <c r="B18" s="6" t="s">
        <v>139</v>
      </c>
      <c r="C18" s="32" t="n">
        <f aca="false">前提条件!$C$27</f>
        <v>20000</v>
      </c>
      <c r="D18" s="32" t="n">
        <f aca="false">前提条件!$C$27</f>
        <v>20000</v>
      </c>
      <c r="E18" s="32" t="n">
        <f aca="false">前提条件!$C$27</f>
        <v>20000</v>
      </c>
      <c r="F18" s="33" t="s">
        <v>140</v>
      </c>
    </row>
    <row r="19" customFormat="false" ht="15" hidden="false" customHeight="false" outlineLevel="0" collapsed="false">
      <c r="B19" s="13" t="s">
        <v>141</v>
      </c>
      <c r="C19" s="43" t="n">
        <f aca="false">C17/C18</f>
        <v>1.4895804</v>
      </c>
      <c r="D19" s="43" t="n">
        <f aca="false">D17/D18</f>
        <v>3.7465204</v>
      </c>
      <c r="E19" s="43" t="n">
        <f aca="false">E17/E18</f>
        <v>1.8281214</v>
      </c>
      <c r="F19" s="33" t="s">
        <v>142</v>
      </c>
    </row>
    <row r="20" customFormat="false" ht="15" hidden="false" customHeight="false" outlineLevel="0" collapsed="false">
      <c r="B20" s="41" t="s">
        <v>143</v>
      </c>
      <c r="C20" s="44" t="n">
        <f aca="false">C18/C12</f>
        <v>22.3776664444117</v>
      </c>
      <c r="D20" s="44" t="n">
        <f aca="false">D18/D12</f>
        <v>8.89714448994682</v>
      </c>
      <c r="E20" s="44" t="n">
        <f aca="false">E18/E12</f>
        <v>18.233654139891</v>
      </c>
      <c r="F20" s="40" t="s">
        <v>144</v>
      </c>
    </row>
    <row r="22" customFormat="false" ht="15" hidden="false" customHeight="false" outlineLevel="0" collapsed="false">
      <c r="B22" s="3" t="s">
        <v>145</v>
      </c>
      <c r="C22" s="45" t="str">
        <f aca="false">IF(E19&gt;=3,"健全","要改善")</f>
        <v>要改善</v>
      </c>
      <c r="F22" s="24" t="s">
        <v>146</v>
      </c>
    </row>
    <row r="24" customFormat="false" ht="15" hidden="false" customHeight="false" outlineLevel="0" collapsed="false">
      <c r="B24" s="3" t="s">
        <v>147</v>
      </c>
    </row>
    <row r="25" customFormat="false" ht="15" hidden="false" customHeight="false" outlineLevel="0" collapsed="false">
      <c r="B25" s="12" t="s">
        <v>148</v>
      </c>
      <c r="C25" s="12" t="s">
        <v>149</v>
      </c>
      <c r="D25" s="12" t="s">
        <v>150</v>
      </c>
    </row>
    <row r="26" customFormat="false" ht="15" hidden="false" customHeight="false" outlineLevel="0" collapsed="false">
      <c r="B26" s="6" t="s">
        <v>151</v>
      </c>
      <c r="C26" s="46" t="n">
        <v>6000</v>
      </c>
      <c r="D26" s="32" t="n">
        <f aca="false">C26/12</f>
        <v>500</v>
      </c>
    </row>
    <row r="27" customFormat="false" ht="15" hidden="false" customHeight="false" outlineLevel="0" collapsed="false">
      <c r="B27" s="6" t="s">
        <v>152</v>
      </c>
      <c r="C27" s="46" t="n">
        <v>10000</v>
      </c>
      <c r="D27" s="32" t="n">
        <f aca="false">C27/12</f>
        <v>833.333333333333</v>
      </c>
    </row>
    <row r="28" customFormat="false" ht="15" hidden="false" customHeight="false" outlineLevel="0" collapsed="false">
      <c r="B28" s="6" t="s">
        <v>153</v>
      </c>
      <c r="C28" s="46" t="n">
        <v>20000</v>
      </c>
      <c r="D28" s="32" t="n">
        <f aca="false">C28/12</f>
        <v>1666.66666666667</v>
      </c>
    </row>
    <row r="29" customFormat="false" ht="15" hidden="false" customHeight="false" outlineLevel="0" collapsed="false">
      <c r="B29" s="6" t="s">
        <v>154</v>
      </c>
      <c r="C29" s="46" t="n">
        <v>30000</v>
      </c>
      <c r="D29" s="32" t="n">
        <f aca="false">C29/12</f>
        <v>2500</v>
      </c>
    </row>
    <row r="30" customFormat="false" ht="15" hidden="false" customHeight="false" outlineLevel="0" collapsed="false">
      <c r="B30" s="6" t="s">
        <v>155</v>
      </c>
      <c r="C30" s="46" t="n">
        <v>40000</v>
      </c>
      <c r="D30" s="32" t="n">
        <f aca="false">C30/12</f>
        <v>3333.33333333333</v>
      </c>
    </row>
    <row r="31" customFormat="false" ht="15" hidden="false" customHeight="false" outlineLevel="0" collapsed="false">
      <c r="B31" s="6" t="s">
        <v>156</v>
      </c>
      <c r="C31" s="46" t="n">
        <v>50000</v>
      </c>
      <c r="D31" s="32" t="n">
        <f aca="false">C31/12</f>
        <v>4166.66666666667</v>
      </c>
    </row>
    <row r="32" customFormat="false" ht="15" hidden="false" customHeight="false" outlineLevel="0" collapsed="false">
      <c r="B32" s="17" t="s">
        <v>157</v>
      </c>
    </row>
    <row r="33" customFormat="false" ht="15" hidden="false" customHeight="false" outlineLevel="0" collapsed="false">
      <c r="B33" s="17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8" min="3" style="0" width="11"/>
  </cols>
  <sheetData>
    <row r="2" customFormat="false" ht="19.4" hidden="false" customHeight="false" outlineLevel="0" collapsed="false">
      <c r="B2" s="1" t="s">
        <v>159</v>
      </c>
    </row>
    <row r="3" customFormat="false" ht="15" hidden="false" customHeight="false" outlineLevel="0" collapsed="false">
      <c r="B3" s="11" t="s">
        <v>160</v>
      </c>
    </row>
    <row r="5" customFormat="false" ht="15" hidden="false" customHeight="false" outlineLevel="0" collapsed="false">
      <c r="B5" s="47" t="s">
        <v>161</v>
      </c>
      <c r="C5" s="48" t="n">
        <v>1</v>
      </c>
      <c r="D5" s="48" t="n">
        <v>2</v>
      </c>
      <c r="E5" s="48" t="n">
        <v>3</v>
      </c>
      <c r="F5" s="48" t="n">
        <v>4</v>
      </c>
      <c r="G5" s="48" t="n">
        <v>5</v>
      </c>
      <c r="H5" s="48" t="n">
        <v>6</v>
      </c>
      <c r="I5" s="48" t="n">
        <v>7</v>
      </c>
      <c r="J5" s="48" t="n">
        <v>8</v>
      </c>
      <c r="K5" s="48" t="n">
        <v>9</v>
      </c>
      <c r="L5" s="48" t="n">
        <v>10</v>
      </c>
      <c r="M5" s="48" t="n">
        <v>11</v>
      </c>
      <c r="N5" s="48" t="n">
        <v>12</v>
      </c>
      <c r="O5" s="48" t="n">
        <v>13</v>
      </c>
      <c r="P5" s="48" t="n">
        <v>14</v>
      </c>
      <c r="Q5" s="48" t="n">
        <v>15</v>
      </c>
      <c r="R5" s="48" t="n">
        <v>16</v>
      </c>
      <c r="S5" s="48" t="n">
        <v>17</v>
      </c>
      <c r="T5" s="48" t="n">
        <v>18</v>
      </c>
      <c r="U5" s="48" t="n">
        <v>19</v>
      </c>
      <c r="V5" s="48" t="n">
        <v>20</v>
      </c>
      <c r="W5" s="48" t="n">
        <v>21</v>
      </c>
      <c r="X5" s="48" t="n">
        <v>22</v>
      </c>
      <c r="Y5" s="48" t="n">
        <v>23</v>
      </c>
      <c r="Z5" s="48" t="n">
        <v>24</v>
      </c>
      <c r="AA5" s="48" t="n">
        <v>25</v>
      </c>
      <c r="AB5" s="48" t="n">
        <v>26</v>
      </c>
      <c r="AC5" s="48" t="n">
        <v>27</v>
      </c>
      <c r="AD5" s="48" t="n">
        <v>28</v>
      </c>
      <c r="AE5" s="48" t="n">
        <v>29</v>
      </c>
      <c r="AF5" s="48" t="n">
        <v>30</v>
      </c>
      <c r="AG5" s="48" t="n">
        <v>31</v>
      </c>
      <c r="AH5" s="48" t="n">
        <v>32</v>
      </c>
      <c r="AI5" s="48" t="n">
        <v>33</v>
      </c>
      <c r="AJ5" s="48" t="n">
        <v>34</v>
      </c>
      <c r="AK5" s="48" t="n">
        <v>35</v>
      </c>
      <c r="AL5" s="48" t="n">
        <v>36</v>
      </c>
    </row>
    <row r="6" customFormat="false" ht="15" hidden="false" customHeight="false" outlineLevel="0" collapsed="false">
      <c r="B6" s="36" t="s">
        <v>162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customFormat="false" ht="15" hidden="false" customHeight="false" outlineLevel="0" collapsed="false">
      <c r="B7" s="5" t="s">
        <v>163</v>
      </c>
      <c r="C7" s="49" t="n">
        <v>0</v>
      </c>
      <c r="D7" s="49" t="n">
        <f aca="false">C10</f>
        <v>5</v>
      </c>
      <c r="E7" s="49" t="n">
        <f aca="false">D10</f>
        <v>11</v>
      </c>
      <c r="F7" s="49" t="n">
        <f aca="false">E10</f>
        <v>18</v>
      </c>
      <c r="G7" s="49" t="n">
        <f aca="false">F10</f>
        <v>25</v>
      </c>
      <c r="H7" s="49" t="n">
        <f aca="false">G10</f>
        <v>33</v>
      </c>
      <c r="I7" s="49" t="n">
        <f aca="false">H10</f>
        <v>42</v>
      </c>
      <c r="J7" s="49" t="n">
        <f aca="false">I10</f>
        <v>53</v>
      </c>
      <c r="K7" s="49" t="n">
        <f aca="false">J10</f>
        <v>64</v>
      </c>
      <c r="L7" s="49" t="n">
        <f aca="false">K10</f>
        <v>77</v>
      </c>
      <c r="M7" s="49" t="n">
        <f aca="false">L10</f>
        <v>93</v>
      </c>
      <c r="N7" s="49" t="n">
        <f aca="false">M10</f>
        <v>110</v>
      </c>
      <c r="O7" s="49" t="n">
        <f aca="false">N10</f>
        <v>130</v>
      </c>
      <c r="P7" s="49" t="n">
        <f aca="false">O10</f>
        <v>153</v>
      </c>
      <c r="Q7" s="49" t="n">
        <f aca="false">P10</f>
        <v>179</v>
      </c>
      <c r="R7" s="49" t="n">
        <f aca="false">Q10</f>
        <v>209</v>
      </c>
      <c r="S7" s="49" t="n">
        <f aca="false">R10</f>
        <v>244</v>
      </c>
      <c r="T7" s="49" t="n">
        <f aca="false">S10</f>
        <v>284</v>
      </c>
      <c r="U7" s="49" t="n">
        <f aca="false">T10</f>
        <v>329</v>
      </c>
      <c r="V7" s="49" t="n">
        <f aca="false">U10</f>
        <v>381</v>
      </c>
      <c r="W7" s="49" t="n">
        <f aca="false">V10</f>
        <v>441</v>
      </c>
      <c r="X7" s="49" t="n">
        <f aca="false">W10</f>
        <v>510</v>
      </c>
      <c r="Y7" s="49" t="n">
        <f aca="false">X10</f>
        <v>589</v>
      </c>
      <c r="Z7" s="49" t="n">
        <f aca="false">Y10</f>
        <v>679</v>
      </c>
      <c r="AA7" s="49" t="n">
        <f aca="false">Z10</f>
        <v>779</v>
      </c>
      <c r="AB7" s="49" t="n">
        <f aca="false">AA10</f>
        <v>876</v>
      </c>
      <c r="AC7" s="49" t="n">
        <f aca="false">AB10</f>
        <v>970</v>
      </c>
      <c r="AD7" s="49" t="n">
        <f aca="false">AC10</f>
        <v>1061</v>
      </c>
      <c r="AE7" s="49" t="n">
        <f aca="false">AD10</f>
        <v>1149</v>
      </c>
      <c r="AF7" s="49" t="n">
        <f aca="false">AE10</f>
        <v>1235</v>
      </c>
      <c r="AG7" s="49" t="n">
        <f aca="false">AF10</f>
        <v>1318</v>
      </c>
      <c r="AH7" s="49" t="n">
        <f aca="false">AG10</f>
        <v>1398</v>
      </c>
      <c r="AI7" s="49" t="n">
        <f aca="false">AH10</f>
        <v>1476</v>
      </c>
      <c r="AJ7" s="49" t="n">
        <f aca="false">AI10</f>
        <v>1552</v>
      </c>
      <c r="AK7" s="49" t="n">
        <f aca="false">AJ10</f>
        <v>1625</v>
      </c>
      <c r="AL7" s="49" t="n">
        <f aca="false">AK10</f>
        <v>1696</v>
      </c>
    </row>
    <row r="8" customFormat="false" ht="15" hidden="false" customHeight="false" outlineLevel="0" collapsed="false">
      <c r="B8" s="5" t="s">
        <v>164</v>
      </c>
      <c r="C8" s="49" t="n">
        <f aca="false">MIN(前提条件!$C$23,ROUND(前提条件!$C$21*(1+前提条件!$C$22)^0,0))</f>
        <v>5</v>
      </c>
      <c r="D8" s="49" t="n">
        <f aca="false">MIN(前提条件!$C$23,ROUND(前提条件!$C$21*(1+前提条件!$C$22)^1,0))</f>
        <v>6</v>
      </c>
      <c r="E8" s="49" t="n">
        <f aca="false">MIN(前提条件!$C$23,ROUND(前提条件!$C$21*(1+前提条件!$C$22)^2,0))</f>
        <v>7</v>
      </c>
      <c r="F8" s="49" t="n">
        <f aca="false">MIN(前提条件!$C$23,ROUND(前提条件!$C$21*(1+前提条件!$C$22)^3,0))</f>
        <v>8</v>
      </c>
      <c r="G8" s="49" t="n">
        <f aca="false">MIN(前提条件!$C$23,ROUND(前提条件!$C$21*(1+前提条件!$C$22)^4,0))</f>
        <v>9</v>
      </c>
      <c r="H8" s="49" t="n">
        <f aca="false">MIN(前提条件!$C$23,ROUND(前提条件!$C$21*(1+前提条件!$C$22)^5,0))</f>
        <v>10</v>
      </c>
      <c r="I8" s="49" t="n">
        <f aca="false">MIN(前提条件!$C$23,ROUND(前提条件!$C$21*(1+前提条件!$C$22)^6,0))</f>
        <v>12</v>
      </c>
      <c r="J8" s="49" t="n">
        <f aca="false">MIN(前提条件!$C$23,ROUND(前提条件!$C$21*(1+前提条件!$C$22)^7,0))</f>
        <v>13</v>
      </c>
      <c r="K8" s="49" t="n">
        <f aca="false">MIN(前提条件!$C$23,ROUND(前提条件!$C$21*(1+前提条件!$C$22)^8,0))</f>
        <v>15</v>
      </c>
      <c r="L8" s="49" t="n">
        <f aca="false">MIN(前提条件!$C$23,ROUND(前提条件!$C$21*(1+前提条件!$C$22)^9,0))</f>
        <v>18</v>
      </c>
      <c r="M8" s="49" t="n">
        <f aca="false">MIN(前提条件!$C$23,ROUND(前提条件!$C$21*(1+前提条件!$C$22)^10,0))</f>
        <v>20</v>
      </c>
      <c r="N8" s="49" t="n">
        <f aca="false">MIN(前提条件!$C$23,ROUND(前提条件!$C$21*(1+前提条件!$C$22)^11,0))</f>
        <v>23</v>
      </c>
      <c r="O8" s="49" t="n">
        <f aca="false">MIN(前提条件!$C$23,ROUND(前提条件!$C$21*(1+前提条件!$C$22)^12,0))</f>
        <v>27</v>
      </c>
      <c r="P8" s="49" t="n">
        <f aca="false">MIN(前提条件!$C$23,ROUND(前提条件!$C$21*(1+前提条件!$C$22)^13,0))</f>
        <v>31</v>
      </c>
      <c r="Q8" s="49" t="n">
        <f aca="false">MIN(前提条件!$C$23,ROUND(前提条件!$C$21*(1+前提条件!$C$22)^14,0))</f>
        <v>35</v>
      </c>
      <c r="R8" s="49" t="n">
        <f aca="false">MIN(前提条件!$C$23,ROUND(前提条件!$C$21*(1+前提条件!$C$22)^15,0))</f>
        <v>41</v>
      </c>
      <c r="S8" s="49" t="n">
        <f aca="false">MIN(前提条件!$C$23,ROUND(前提条件!$C$21*(1+前提条件!$C$22)^16,0))</f>
        <v>47</v>
      </c>
      <c r="T8" s="49" t="n">
        <f aca="false">MIN(前提条件!$C$23,ROUND(前提条件!$C$21*(1+前提条件!$C$22)^17,0))</f>
        <v>54</v>
      </c>
      <c r="U8" s="49" t="n">
        <f aca="false">MIN(前提条件!$C$23,ROUND(前提条件!$C$21*(1+前提条件!$C$22)^18,0))</f>
        <v>62</v>
      </c>
      <c r="V8" s="49" t="n">
        <f aca="false">MIN(前提条件!$C$23,ROUND(前提条件!$C$21*(1+前提条件!$C$22)^19,0))</f>
        <v>71</v>
      </c>
      <c r="W8" s="49" t="n">
        <f aca="false">MIN(前提条件!$C$23,ROUND(前提条件!$C$21*(1+前提条件!$C$22)^20,0))</f>
        <v>82</v>
      </c>
      <c r="X8" s="49" t="n">
        <f aca="false">MIN(前提条件!$C$23,ROUND(前提条件!$C$21*(1+前提条件!$C$22)^21,0))</f>
        <v>94</v>
      </c>
      <c r="Y8" s="49" t="n">
        <f aca="false">MIN(前提条件!$C$23,ROUND(前提条件!$C$21*(1+前提条件!$C$22)^22,0))</f>
        <v>108</v>
      </c>
      <c r="Z8" s="49" t="n">
        <f aca="false">MIN(前提条件!$C$23,ROUND(前提条件!$C$21*(1+前提条件!$C$22)^23,0))</f>
        <v>120</v>
      </c>
      <c r="AA8" s="49" t="n">
        <f aca="false">MIN(前提条件!$C$23,ROUND(前提条件!$C$21*(1+前提条件!$C$22)^24,0))</f>
        <v>120</v>
      </c>
      <c r="AB8" s="49" t="n">
        <f aca="false">MIN(前提条件!$C$23,ROUND(前提条件!$C$21*(1+前提条件!$C$22)^25,0))</f>
        <v>120</v>
      </c>
      <c r="AC8" s="49" t="n">
        <f aca="false">MIN(前提条件!$C$23,ROUND(前提条件!$C$21*(1+前提条件!$C$22)^26,0))</f>
        <v>120</v>
      </c>
      <c r="AD8" s="49" t="n">
        <f aca="false">MIN(前提条件!$C$23,ROUND(前提条件!$C$21*(1+前提条件!$C$22)^27,0))</f>
        <v>120</v>
      </c>
      <c r="AE8" s="49" t="n">
        <f aca="false">MIN(前提条件!$C$23,ROUND(前提条件!$C$21*(1+前提条件!$C$22)^28,0))</f>
        <v>120</v>
      </c>
      <c r="AF8" s="49" t="n">
        <f aca="false">MIN(前提条件!$C$23,ROUND(前提条件!$C$21*(1+前提条件!$C$22)^29,0))</f>
        <v>120</v>
      </c>
      <c r="AG8" s="49" t="n">
        <f aca="false">MIN(前提条件!$C$23,ROUND(前提条件!$C$21*(1+前提条件!$C$22)^30,0))</f>
        <v>120</v>
      </c>
      <c r="AH8" s="49" t="n">
        <f aca="false">MIN(前提条件!$C$23,ROUND(前提条件!$C$21*(1+前提条件!$C$22)^31,0))</f>
        <v>120</v>
      </c>
      <c r="AI8" s="49" t="n">
        <f aca="false">MIN(前提条件!$C$23,ROUND(前提条件!$C$21*(1+前提条件!$C$22)^32,0))</f>
        <v>120</v>
      </c>
      <c r="AJ8" s="49" t="n">
        <f aca="false">MIN(前提条件!$C$23,ROUND(前提条件!$C$21*(1+前提条件!$C$22)^33,0))</f>
        <v>120</v>
      </c>
      <c r="AK8" s="49" t="n">
        <f aca="false">MIN(前提条件!$C$23,ROUND(前提条件!$C$21*(1+前提条件!$C$22)^34,0))</f>
        <v>120</v>
      </c>
      <c r="AL8" s="49" t="n">
        <f aca="false">MIN(前提条件!$C$23,ROUND(前提条件!$C$21*(1+前提条件!$C$22)^35,0))</f>
        <v>120</v>
      </c>
    </row>
    <row r="9" customFormat="false" ht="15" hidden="false" customHeight="false" outlineLevel="0" collapsed="false">
      <c r="B9" s="5" t="s">
        <v>165</v>
      </c>
      <c r="C9" s="49" t="n">
        <f aca="false">-ROUND(C7*前提条件!$C$24,0)</f>
        <v>-0</v>
      </c>
      <c r="D9" s="49" t="n">
        <f aca="false">-ROUND(D7*前提条件!$C$24,0)</f>
        <v>-0</v>
      </c>
      <c r="E9" s="49" t="n">
        <f aca="false">-ROUND(E7*前提条件!$C$24,0)</f>
        <v>-0</v>
      </c>
      <c r="F9" s="49" t="n">
        <f aca="false">-ROUND(F7*前提条件!$C$24,0)</f>
        <v>-1</v>
      </c>
      <c r="G9" s="49" t="n">
        <f aca="false">-ROUND(G7*前提条件!$C$24,0)</f>
        <v>-1</v>
      </c>
      <c r="H9" s="49" t="n">
        <f aca="false">-ROUND(H7*前提条件!$C$24,0)</f>
        <v>-1</v>
      </c>
      <c r="I9" s="49" t="n">
        <f aca="false">-ROUND(I7*前提条件!$C$24,0)</f>
        <v>-1</v>
      </c>
      <c r="J9" s="49" t="n">
        <f aca="false">-ROUND(J7*前提条件!$C$24,0)</f>
        <v>-2</v>
      </c>
      <c r="K9" s="49" t="n">
        <f aca="false">-ROUND(K7*前提条件!$C$24,0)</f>
        <v>-2</v>
      </c>
      <c r="L9" s="49" t="n">
        <f aca="false">-ROUND(L7*前提条件!$C$24,0)</f>
        <v>-2</v>
      </c>
      <c r="M9" s="49" t="n">
        <f aca="false">-ROUND(M7*前提条件!$C$24,0)</f>
        <v>-3</v>
      </c>
      <c r="N9" s="49" t="n">
        <f aca="false">-ROUND(N7*前提条件!$C$24,0)</f>
        <v>-3</v>
      </c>
      <c r="O9" s="49" t="n">
        <f aca="false">-ROUND(O7*前提条件!$C$24,0)</f>
        <v>-4</v>
      </c>
      <c r="P9" s="49" t="n">
        <f aca="false">-ROUND(P7*前提条件!$C$24,0)</f>
        <v>-5</v>
      </c>
      <c r="Q9" s="49" t="n">
        <f aca="false">-ROUND(Q7*前提条件!$C$24,0)</f>
        <v>-5</v>
      </c>
      <c r="R9" s="49" t="n">
        <f aca="false">-ROUND(R7*前提条件!$C$24,0)</f>
        <v>-6</v>
      </c>
      <c r="S9" s="49" t="n">
        <f aca="false">-ROUND(S7*前提条件!$C$24,0)</f>
        <v>-7</v>
      </c>
      <c r="T9" s="49" t="n">
        <f aca="false">-ROUND(T7*前提条件!$C$24,0)</f>
        <v>-9</v>
      </c>
      <c r="U9" s="49" t="n">
        <f aca="false">-ROUND(U7*前提条件!$C$24,0)</f>
        <v>-10</v>
      </c>
      <c r="V9" s="49" t="n">
        <f aca="false">-ROUND(V7*前提条件!$C$24,0)</f>
        <v>-11</v>
      </c>
      <c r="W9" s="49" t="n">
        <f aca="false">-ROUND(W7*前提条件!$C$24,0)</f>
        <v>-13</v>
      </c>
      <c r="X9" s="49" t="n">
        <f aca="false">-ROUND(X7*前提条件!$C$24,0)</f>
        <v>-15</v>
      </c>
      <c r="Y9" s="49" t="n">
        <f aca="false">-ROUND(Y7*前提条件!$C$24,0)</f>
        <v>-18</v>
      </c>
      <c r="Z9" s="49" t="n">
        <f aca="false">-ROUND(Z7*前提条件!$C$24,0)</f>
        <v>-20</v>
      </c>
      <c r="AA9" s="49" t="n">
        <f aca="false">-ROUND(AA7*前提条件!$C$24,0)</f>
        <v>-23</v>
      </c>
      <c r="AB9" s="49" t="n">
        <f aca="false">-ROUND(AB7*前提条件!$C$24,0)</f>
        <v>-26</v>
      </c>
      <c r="AC9" s="49" t="n">
        <f aca="false">-ROUND(AC7*前提条件!$C$24,0)</f>
        <v>-29</v>
      </c>
      <c r="AD9" s="49" t="n">
        <f aca="false">-ROUND(AD7*前提条件!$C$24,0)</f>
        <v>-32</v>
      </c>
      <c r="AE9" s="49" t="n">
        <f aca="false">-ROUND(AE7*前提条件!$C$24,0)</f>
        <v>-34</v>
      </c>
      <c r="AF9" s="49" t="n">
        <f aca="false">-ROUND(AF7*前提条件!$C$24,0)</f>
        <v>-37</v>
      </c>
      <c r="AG9" s="49" t="n">
        <f aca="false">-ROUND(AG7*前提条件!$C$24,0)</f>
        <v>-40</v>
      </c>
      <c r="AH9" s="49" t="n">
        <f aca="false">-ROUND(AH7*前提条件!$C$24,0)</f>
        <v>-42</v>
      </c>
      <c r="AI9" s="49" t="n">
        <f aca="false">-ROUND(AI7*前提条件!$C$24,0)</f>
        <v>-44</v>
      </c>
      <c r="AJ9" s="49" t="n">
        <f aca="false">-ROUND(AJ7*前提条件!$C$24,0)</f>
        <v>-47</v>
      </c>
      <c r="AK9" s="49" t="n">
        <f aca="false">-ROUND(AK7*前提条件!$C$24,0)</f>
        <v>-49</v>
      </c>
      <c r="AL9" s="49" t="n">
        <f aca="false">-ROUND(AL7*前提条件!$C$24,0)</f>
        <v>-51</v>
      </c>
    </row>
    <row r="10" customFormat="false" ht="15" hidden="false" customHeight="false" outlineLevel="0" collapsed="false">
      <c r="B10" s="3" t="s">
        <v>166</v>
      </c>
      <c r="C10" s="50" t="n">
        <f aca="false">C7+C8+C9</f>
        <v>5</v>
      </c>
      <c r="D10" s="50" t="n">
        <f aca="false">D7+D8+D9</f>
        <v>11</v>
      </c>
      <c r="E10" s="50" t="n">
        <f aca="false">E7+E8+E9</f>
        <v>18</v>
      </c>
      <c r="F10" s="50" t="n">
        <f aca="false">F7+F8+F9</f>
        <v>25</v>
      </c>
      <c r="G10" s="50" t="n">
        <f aca="false">G7+G8+G9</f>
        <v>33</v>
      </c>
      <c r="H10" s="50" t="n">
        <f aca="false">H7+H8+H9</f>
        <v>42</v>
      </c>
      <c r="I10" s="50" t="n">
        <f aca="false">I7+I8+I9</f>
        <v>53</v>
      </c>
      <c r="J10" s="50" t="n">
        <f aca="false">J7+J8+J9</f>
        <v>64</v>
      </c>
      <c r="K10" s="50" t="n">
        <f aca="false">K7+K8+K9</f>
        <v>77</v>
      </c>
      <c r="L10" s="50" t="n">
        <f aca="false">L7+L8+L9</f>
        <v>93</v>
      </c>
      <c r="M10" s="50" t="n">
        <f aca="false">M7+M8+M9</f>
        <v>110</v>
      </c>
      <c r="N10" s="50" t="n">
        <f aca="false">N7+N8+N9</f>
        <v>130</v>
      </c>
      <c r="O10" s="50" t="n">
        <f aca="false">O7+O8+O9</f>
        <v>153</v>
      </c>
      <c r="P10" s="50" t="n">
        <f aca="false">P7+P8+P9</f>
        <v>179</v>
      </c>
      <c r="Q10" s="50" t="n">
        <f aca="false">Q7+Q8+Q9</f>
        <v>209</v>
      </c>
      <c r="R10" s="50" t="n">
        <f aca="false">R7+R8+R9</f>
        <v>244</v>
      </c>
      <c r="S10" s="50" t="n">
        <f aca="false">S7+S8+S9</f>
        <v>284</v>
      </c>
      <c r="T10" s="50" t="n">
        <f aca="false">T7+T8+T9</f>
        <v>329</v>
      </c>
      <c r="U10" s="50" t="n">
        <f aca="false">U7+U8+U9</f>
        <v>381</v>
      </c>
      <c r="V10" s="50" t="n">
        <f aca="false">V7+V8+V9</f>
        <v>441</v>
      </c>
      <c r="W10" s="50" t="n">
        <f aca="false">W7+W8+W9</f>
        <v>510</v>
      </c>
      <c r="X10" s="50" t="n">
        <f aca="false">X7+X8+X9</f>
        <v>589</v>
      </c>
      <c r="Y10" s="50" t="n">
        <f aca="false">Y7+Y8+Y9</f>
        <v>679</v>
      </c>
      <c r="Z10" s="50" t="n">
        <f aca="false">Z7+Z8+Z9</f>
        <v>779</v>
      </c>
      <c r="AA10" s="50" t="n">
        <f aca="false">AA7+AA8+AA9</f>
        <v>876</v>
      </c>
      <c r="AB10" s="50" t="n">
        <f aca="false">AB7+AB8+AB9</f>
        <v>970</v>
      </c>
      <c r="AC10" s="50" t="n">
        <f aca="false">AC7+AC8+AC9</f>
        <v>1061</v>
      </c>
      <c r="AD10" s="50" t="n">
        <f aca="false">AD7+AD8+AD9</f>
        <v>1149</v>
      </c>
      <c r="AE10" s="50" t="n">
        <f aca="false">AE7+AE8+AE9</f>
        <v>1235</v>
      </c>
      <c r="AF10" s="50" t="n">
        <f aca="false">AF7+AF8+AF9</f>
        <v>1318</v>
      </c>
      <c r="AG10" s="50" t="n">
        <f aca="false">AG7+AG8+AG9</f>
        <v>1398</v>
      </c>
      <c r="AH10" s="50" t="n">
        <f aca="false">AH7+AH8+AH9</f>
        <v>1476</v>
      </c>
      <c r="AI10" s="50" t="n">
        <f aca="false">AI7+AI8+AI9</f>
        <v>1552</v>
      </c>
      <c r="AJ10" s="50" t="n">
        <f aca="false">AJ7+AJ8+AJ9</f>
        <v>1625</v>
      </c>
      <c r="AK10" s="50" t="n">
        <f aca="false">AK7+AK8+AK9</f>
        <v>1696</v>
      </c>
      <c r="AL10" s="50" t="n">
        <f aca="false">AL7+AL8+AL9</f>
        <v>1765</v>
      </c>
    </row>
    <row r="11" customFormat="false" ht="15" hidden="false" customHeight="false" outlineLevel="0" collapsed="false">
      <c r="B11" s="5" t="s">
        <v>167</v>
      </c>
      <c r="C11" s="51" t="n">
        <f aca="false">(C7+C10)/2</f>
        <v>2.5</v>
      </c>
      <c r="D11" s="51" t="n">
        <f aca="false">(D7+D10)/2</f>
        <v>8</v>
      </c>
      <c r="E11" s="51" t="n">
        <f aca="false">(E7+E10)/2</f>
        <v>14.5</v>
      </c>
      <c r="F11" s="51" t="n">
        <f aca="false">(F7+F10)/2</f>
        <v>21.5</v>
      </c>
      <c r="G11" s="51" t="n">
        <f aca="false">(G7+G10)/2</f>
        <v>29</v>
      </c>
      <c r="H11" s="51" t="n">
        <f aca="false">(H7+H10)/2</f>
        <v>37.5</v>
      </c>
      <c r="I11" s="51" t="n">
        <f aca="false">(I7+I10)/2</f>
        <v>47.5</v>
      </c>
      <c r="J11" s="51" t="n">
        <f aca="false">(J7+J10)/2</f>
        <v>58.5</v>
      </c>
      <c r="K11" s="51" t="n">
        <f aca="false">(K7+K10)/2</f>
        <v>70.5</v>
      </c>
      <c r="L11" s="51" t="n">
        <f aca="false">(L7+L10)/2</f>
        <v>85</v>
      </c>
      <c r="M11" s="51" t="n">
        <f aca="false">(M7+M10)/2</f>
        <v>101.5</v>
      </c>
      <c r="N11" s="51" t="n">
        <f aca="false">(N7+N10)/2</f>
        <v>120</v>
      </c>
      <c r="O11" s="51" t="n">
        <f aca="false">(O7+O10)/2</f>
        <v>141.5</v>
      </c>
      <c r="P11" s="51" t="n">
        <f aca="false">(P7+P10)/2</f>
        <v>166</v>
      </c>
      <c r="Q11" s="51" t="n">
        <f aca="false">(Q7+Q10)/2</f>
        <v>194</v>
      </c>
      <c r="R11" s="51" t="n">
        <f aca="false">(R7+R10)/2</f>
        <v>226.5</v>
      </c>
      <c r="S11" s="51" t="n">
        <f aca="false">(S7+S10)/2</f>
        <v>264</v>
      </c>
      <c r="T11" s="51" t="n">
        <f aca="false">(T7+T10)/2</f>
        <v>306.5</v>
      </c>
      <c r="U11" s="51" t="n">
        <f aca="false">(U7+U10)/2</f>
        <v>355</v>
      </c>
      <c r="V11" s="51" t="n">
        <f aca="false">(V7+V10)/2</f>
        <v>411</v>
      </c>
      <c r="W11" s="51" t="n">
        <f aca="false">(W7+W10)/2</f>
        <v>475.5</v>
      </c>
      <c r="X11" s="51" t="n">
        <f aca="false">(X7+X10)/2</f>
        <v>549.5</v>
      </c>
      <c r="Y11" s="51" t="n">
        <f aca="false">(Y7+Y10)/2</f>
        <v>634</v>
      </c>
      <c r="Z11" s="51" t="n">
        <f aca="false">(Z7+Z10)/2</f>
        <v>729</v>
      </c>
      <c r="AA11" s="51" t="n">
        <f aca="false">(AA7+AA10)/2</f>
        <v>827.5</v>
      </c>
      <c r="AB11" s="51" t="n">
        <f aca="false">(AB7+AB10)/2</f>
        <v>923</v>
      </c>
      <c r="AC11" s="51" t="n">
        <f aca="false">(AC7+AC10)/2</f>
        <v>1015.5</v>
      </c>
      <c r="AD11" s="51" t="n">
        <f aca="false">(AD7+AD10)/2</f>
        <v>1105</v>
      </c>
      <c r="AE11" s="51" t="n">
        <f aca="false">(AE7+AE10)/2</f>
        <v>1192</v>
      </c>
      <c r="AF11" s="51" t="n">
        <f aca="false">(AF7+AF10)/2</f>
        <v>1276.5</v>
      </c>
      <c r="AG11" s="51" t="n">
        <f aca="false">(AG7+AG10)/2</f>
        <v>1358</v>
      </c>
      <c r="AH11" s="51" t="n">
        <f aca="false">(AH7+AH10)/2</f>
        <v>1437</v>
      </c>
      <c r="AI11" s="51" t="n">
        <f aca="false">(AI7+AI10)/2</f>
        <v>1514</v>
      </c>
      <c r="AJ11" s="51" t="n">
        <f aca="false">(AJ7+AJ10)/2</f>
        <v>1588.5</v>
      </c>
      <c r="AK11" s="51" t="n">
        <f aca="false">(AK7+AK10)/2</f>
        <v>1660.5</v>
      </c>
      <c r="AL11" s="51" t="n">
        <f aca="false">(AL7+AL10)/2</f>
        <v>1730.5</v>
      </c>
    </row>
    <row r="13" customFormat="false" ht="15" hidden="false" customHeight="false" outlineLevel="0" collapsed="false">
      <c r="B13" s="36" t="s">
        <v>168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 customFormat="false" ht="15" hidden="false" customHeight="false" outlineLevel="0" collapsed="false">
      <c r="B14" s="5" t="s">
        <v>169</v>
      </c>
      <c r="C14" s="52" t="n">
        <f aca="false">C11*単位経済!$E$7</f>
        <v>5710.5</v>
      </c>
      <c r="D14" s="52" t="n">
        <f aca="false">D11*単位経済!$E$7</f>
        <v>18273.6</v>
      </c>
      <c r="E14" s="52" t="n">
        <f aca="false">E11*単位経済!$E$7</f>
        <v>33120.9</v>
      </c>
      <c r="F14" s="52" t="n">
        <f aca="false">F11*単位経済!$E$7</f>
        <v>49110.3</v>
      </c>
      <c r="G14" s="52" t="n">
        <f aca="false">G11*単位経済!$E$7</f>
        <v>66241.8</v>
      </c>
      <c r="H14" s="52" t="n">
        <f aca="false">H11*単位経済!$E$7</f>
        <v>85657.5</v>
      </c>
      <c r="I14" s="52" t="n">
        <f aca="false">I11*単位経済!$E$7</f>
        <v>108499.5</v>
      </c>
      <c r="J14" s="52" t="n">
        <f aca="false">J11*単位経済!$E$7</f>
        <v>133625.7</v>
      </c>
      <c r="K14" s="52" t="n">
        <f aca="false">K11*単位経済!$E$7</f>
        <v>161036.1</v>
      </c>
      <c r="L14" s="52" t="n">
        <f aca="false">L11*単位経済!$E$7</f>
        <v>194157</v>
      </c>
      <c r="M14" s="52" t="n">
        <f aca="false">M11*単位経済!$E$7</f>
        <v>231846.3</v>
      </c>
      <c r="N14" s="52" t="n">
        <f aca="false">N11*単位経済!$E$7</f>
        <v>274104</v>
      </c>
      <c r="O14" s="52" t="n">
        <f aca="false">O11*単位経済!$E$7</f>
        <v>323214.3</v>
      </c>
      <c r="P14" s="52" t="n">
        <f aca="false">P11*単位経済!$E$7</f>
        <v>379177.2</v>
      </c>
      <c r="Q14" s="52" t="n">
        <f aca="false">Q11*単位経済!$E$7</f>
        <v>443134.8</v>
      </c>
      <c r="R14" s="52" t="n">
        <f aca="false">R11*単位経済!$E$7</f>
        <v>517371.3</v>
      </c>
      <c r="S14" s="52" t="n">
        <f aca="false">S11*単位経済!$E$7</f>
        <v>603028.8</v>
      </c>
      <c r="T14" s="52" t="n">
        <f aca="false">T11*単位経済!$E$7</f>
        <v>700107.3</v>
      </c>
      <c r="U14" s="52" t="n">
        <f aca="false">U11*単位経済!$E$7</f>
        <v>810891</v>
      </c>
      <c r="V14" s="52" t="n">
        <f aca="false">V11*単位経済!$E$7</f>
        <v>938806.2</v>
      </c>
      <c r="W14" s="52" t="n">
        <f aca="false">W11*単位経済!$E$7</f>
        <v>1086137.1</v>
      </c>
      <c r="X14" s="52" t="n">
        <f aca="false">X11*単位経済!$E$7</f>
        <v>1255167.9</v>
      </c>
      <c r="Y14" s="52" t="n">
        <f aca="false">Y11*単位経済!$E$7</f>
        <v>1448182.8</v>
      </c>
      <c r="Z14" s="52" t="n">
        <f aca="false">Z11*単位経済!$E$7</f>
        <v>1665181.8</v>
      </c>
      <c r="AA14" s="52" t="n">
        <f aca="false">AA11*単位経済!$E$7</f>
        <v>1890175.5</v>
      </c>
      <c r="AB14" s="52" t="n">
        <f aca="false">AB11*単位経済!$E$7</f>
        <v>2108316.6</v>
      </c>
      <c r="AC14" s="52" t="n">
        <f aca="false">AC11*単位経済!$E$7</f>
        <v>2319605.1</v>
      </c>
      <c r="AD14" s="52" t="n">
        <f aca="false">AD11*単位経済!$E$7</f>
        <v>2524041</v>
      </c>
      <c r="AE14" s="52" t="n">
        <f aca="false">AE11*単位経済!$E$7</f>
        <v>2722766.4</v>
      </c>
      <c r="AF14" s="52" t="n">
        <f aca="false">AF11*単位経済!$E$7</f>
        <v>2915781.3</v>
      </c>
      <c r="AG14" s="52" t="n">
        <f aca="false">AG11*単位経済!$E$7</f>
        <v>3101943.6</v>
      </c>
      <c r="AH14" s="52" t="n">
        <f aca="false">AH11*単位経済!$E$7</f>
        <v>3282395.4</v>
      </c>
      <c r="AI14" s="52" t="n">
        <f aca="false">AI11*単位経済!$E$7</f>
        <v>3458278.8</v>
      </c>
      <c r="AJ14" s="52" t="n">
        <f aca="false">AJ11*単位経済!$E$7</f>
        <v>3628451.7</v>
      </c>
      <c r="AK14" s="52" t="n">
        <f aca="false">AK11*単位経済!$E$7</f>
        <v>3792914.1</v>
      </c>
      <c r="AL14" s="52" t="n">
        <f aca="false">AL11*単位経済!$E$7</f>
        <v>3952808.1</v>
      </c>
    </row>
    <row r="15" customFormat="false" ht="15" hidden="false" customHeight="false" outlineLevel="0" collapsed="false">
      <c r="B15" s="5" t="s">
        <v>170</v>
      </c>
      <c r="C15" s="52" t="n">
        <f aca="false">-C14*前提条件!$C$16/(1+前提条件!$C$16)</f>
        <v>-519.136363636364</v>
      </c>
      <c r="D15" s="52" t="n">
        <f aca="false">-D14*前提条件!$C$16/(1+前提条件!$C$16)</f>
        <v>-1661.23636363636</v>
      </c>
      <c r="E15" s="52" t="n">
        <f aca="false">-E14*前提条件!$C$16/(1+前提条件!$C$16)</f>
        <v>-3010.99090909091</v>
      </c>
      <c r="F15" s="52" t="n">
        <f aca="false">-F14*前提条件!$C$16/(1+前提条件!$C$16)</f>
        <v>-4464.57272727273</v>
      </c>
      <c r="G15" s="52" t="n">
        <f aca="false">-G14*前提条件!$C$16/(1+前提条件!$C$16)</f>
        <v>-6021.98181818182</v>
      </c>
      <c r="H15" s="52" t="n">
        <f aca="false">-H14*前提条件!$C$16/(1+前提条件!$C$16)</f>
        <v>-7787.04545454545</v>
      </c>
      <c r="I15" s="52" t="n">
        <f aca="false">-I14*前提条件!$C$16/(1+前提条件!$C$16)</f>
        <v>-9863.59090909091</v>
      </c>
      <c r="J15" s="52" t="n">
        <f aca="false">-J14*前提条件!$C$16/(1+前提条件!$C$16)</f>
        <v>-12147.7909090909</v>
      </c>
      <c r="K15" s="52" t="n">
        <f aca="false">-K14*前提条件!$C$16/(1+前提条件!$C$16)</f>
        <v>-14639.6454545455</v>
      </c>
      <c r="L15" s="52" t="n">
        <f aca="false">-L14*前提条件!$C$16/(1+前提条件!$C$16)</f>
        <v>-17650.6363636364</v>
      </c>
      <c r="M15" s="52" t="n">
        <f aca="false">-M14*前提条件!$C$16/(1+前提条件!$C$16)</f>
        <v>-21076.9363636364</v>
      </c>
      <c r="N15" s="52" t="n">
        <f aca="false">-N14*前提条件!$C$16/(1+前提条件!$C$16)</f>
        <v>-24918.5454545455</v>
      </c>
      <c r="O15" s="52" t="n">
        <f aca="false">-O14*前提条件!$C$16/(1+前提条件!$C$16)</f>
        <v>-29383.1181818182</v>
      </c>
      <c r="P15" s="52" t="n">
        <f aca="false">-P14*前提条件!$C$16/(1+前提条件!$C$16)</f>
        <v>-34470.6545454545</v>
      </c>
      <c r="Q15" s="52" t="n">
        <f aca="false">-Q14*前提条件!$C$16/(1+前提条件!$C$16)</f>
        <v>-40284.9818181818</v>
      </c>
      <c r="R15" s="52" t="n">
        <f aca="false">-R14*前提条件!$C$16/(1+前提条件!$C$16)</f>
        <v>-47033.7545454545</v>
      </c>
      <c r="S15" s="52" t="n">
        <f aca="false">-S14*前提条件!$C$16/(1+前提条件!$C$16)</f>
        <v>-54820.8</v>
      </c>
      <c r="T15" s="52" t="n">
        <f aca="false">-T14*前提条件!$C$16/(1+前提条件!$C$16)</f>
        <v>-63646.1181818182</v>
      </c>
      <c r="U15" s="52" t="n">
        <f aca="false">-U14*前提条件!$C$16/(1+前提条件!$C$16)</f>
        <v>-73717.3636363636</v>
      </c>
      <c r="V15" s="52" t="n">
        <f aca="false">-V14*前提条件!$C$16/(1+前提条件!$C$16)</f>
        <v>-85346.0181818182</v>
      </c>
      <c r="W15" s="52" t="n">
        <f aca="false">-W14*前提条件!$C$16/(1+前提条件!$C$16)</f>
        <v>-98739.7363636363</v>
      </c>
      <c r="X15" s="52" t="n">
        <f aca="false">-X14*前提条件!$C$16/(1+前提条件!$C$16)</f>
        <v>-114106.172727273</v>
      </c>
      <c r="Y15" s="52" t="n">
        <f aca="false">-Y14*前提条件!$C$16/(1+前提条件!$C$16)</f>
        <v>-131652.981818182</v>
      </c>
      <c r="Z15" s="52" t="n">
        <f aca="false">-Z14*前提条件!$C$16/(1+前提条件!$C$16)</f>
        <v>-151380.163636364</v>
      </c>
      <c r="AA15" s="52" t="n">
        <f aca="false">-AA14*前提条件!$C$16/(1+前提条件!$C$16)</f>
        <v>-171834.136363636</v>
      </c>
      <c r="AB15" s="52" t="n">
        <f aca="false">-AB14*前提条件!$C$16/(1+前提条件!$C$16)</f>
        <v>-191665.145454545</v>
      </c>
      <c r="AC15" s="52" t="n">
        <f aca="false">-AC14*前提条件!$C$16/(1+前提条件!$C$16)</f>
        <v>-210873.190909091</v>
      </c>
      <c r="AD15" s="52" t="n">
        <f aca="false">-AD14*前提条件!$C$16/(1+前提条件!$C$16)</f>
        <v>-229458.272727273</v>
      </c>
      <c r="AE15" s="52" t="n">
        <f aca="false">-AE14*前提条件!$C$16/(1+前提条件!$C$16)</f>
        <v>-247524.218181818</v>
      </c>
      <c r="AF15" s="52" t="n">
        <f aca="false">-AF14*前提条件!$C$16/(1+前提条件!$C$16)</f>
        <v>-265071.027272727</v>
      </c>
      <c r="AG15" s="52" t="n">
        <f aca="false">-AG14*前提条件!$C$16/(1+前提条件!$C$16)</f>
        <v>-281994.872727273</v>
      </c>
      <c r="AH15" s="52" t="n">
        <f aca="false">-AH14*前提条件!$C$16/(1+前提条件!$C$16)</f>
        <v>-298399.581818182</v>
      </c>
      <c r="AI15" s="52" t="n">
        <f aca="false">-AI14*前提条件!$C$16/(1+前提条件!$C$16)</f>
        <v>-314388.981818182</v>
      </c>
      <c r="AJ15" s="52" t="n">
        <f aca="false">-AJ14*前提条件!$C$16/(1+前提条件!$C$16)</f>
        <v>-329859.245454545</v>
      </c>
      <c r="AK15" s="52" t="n">
        <f aca="false">-AK14*前提条件!$C$16/(1+前提条件!$C$16)</f>
        <v>-344810.372727273</v>
      </c>
      <c r="AL15" s="52" t="n">
        <f aca="false">-AL14*前提条件!$C$16/(1+前提条件!$C$16)</f>
        <v>-359346.190909091</v>
      </c>
    </row>
    <row r="16" customFormat="false" ht="15" hidden="false" customHeight="false" outlineLevel="0" collapsed="false">
      <c r="B16" s="6" t="s">
        <v>124</v>
      </c>
      <c r="C16" s="52" t="n">
        <f aca="false">-C14*前提条件!$C$17</f>
        <v>-205.578</v>
      </c>
      <c r="D16" s="52" t="n">
        <f aca="false">-D14*前提条件!$C$17</f>
        <v>-657.8496</v>
      </c>
      <c r="E16" s="52" t="n">
        <f aca="false">-E14*前提条件!$C$17</f>
        <v>-1192.3524</v>
      </c>
      <c r="F16" s="52" t="n">
        <f aca="false">-F14*前提条件!$C$17</f>
        <v>-1767.9708</v>
      </c>
      <c r="G16" s="52" t="n">
        <f aca="false">-G14*前提条件!$C$17</f>
        <v>-2384.7048</v>
      </c>
      <c r="H16" s="52" t="n">
        <f aca="false">-H14*前提条件!$C$17</f>
        <v>-3083.67</v>
      </c>
      <c r="I16" s="52" t="n">
        <f aca="false">-I14*前提条件!$C$17</f>
        <v>-3905.982</v>
      </c>
      <c r="J16" s="52" t="n">
        <f aca="false">-J14*前提条件!$C$17</f>
        <v>-4810.5252</v>
      </c>
      <c r="K16" s="52" t="n">
        <f aca="false">-K14*前提条件!$C$17</f>
        <v>-5797.2996</v>
      </c>
      <c r="L16" s="52" t="n">
        <f aca="false">-L14*前提条件!$C$17</f>
        <v>-6989.652</v>
      </c>
      <c r="M16" s="52" t="n">
        <f aca="false">-M14*前提条件!$C$17</f>
        <v>-8346.4668</v>
      </c>
      <c r="N16" s="52" t="n">
        <f aca="false">-N14*前提条件!$C$17</f>
        <v>-9867.744</v>
      </c>
      <c r="O16" s="52" t="n">
        <f aca="false">-O14*前提条件!$C$17</f>
        <v>-11635.7148</v>
      </c>
      <c r="P16" s="52" t="n">
        <f aca="false">-P14*前提条件!$C$17</f>
        <v>-13650.3792</v>
      </c>
      <c r="Q16" s="52" t="n">
        <f aca="false">-Q14*前提条件!$C$17</f>
        <v>-15952.8528</v>
      </c>
      <c r="R16" s="52" t="n">
        <f aca="false">-R14*前提条件!$C$17</f>
        <v>-18625.3668</v>
      </c>
      <c r="S16" s="52" t="n">
        <f aca="false">-S14*前提条件!$C$17</f>
        <v>-21709.0368</v>
      </c>
      <c r="T16" s="52" t="n">
        <f aca="false">-T14*前提条件!$C$17</f>
        <v>-25203.8628</v>
      </c>
      <c r="U16" s="52" t="n">
        <f aca="false">-U14*前提条件!$C$17</f>
        <v>-29192.076</v>
      </c>
      <c r="V16" s="52" t="n">
        <f aca="false">-V14*前提条件!$C$17</f>
        <v>-33797.0232</v>
      </c>
      <c r="W16" s="52" t="n">
        <f aca="false">-W14*前提条件!$C$17</f>
        <v>-39100.9356</v>
      </c>
      <c r="X16" s="52" t="n">
        <f aca="false">-X14*前提条件!$C$17</f>
        <v>-45186.0444</v>
      </c>
      <c r="Y16" s="52" t="n">
        <f aca="false">-Y14*前提条件!$C$17</f>
        <v>-52134.5808</v>
      </c>
      <c r="Z16" s="52" t="n">
        <f aca="false">-Z14*前提条件!$C$17</f>
        <v>-59946.5448</v>
      </c>
      <c r="AA16" s="52" t="n">
        <f aca="false">-AA14*前提条件!$C$17</f>
        <v>-68046.318</v>
      </c>
      <c r="AB16" s="52" t="n">
        <f aca="false">-AB14*前提条件!$C$17</f>
        <v>-75899.3976</v>
      </c>
      <c r="AC16" s="52" t="n">
        <f aca="false">-AC14*前提条件!$C$17</f>
        <v>-83505.7836</v>
      </c>
      <c r="AD16" s="52" t="n">
        <f aca="false">-AD14*前提条件!$C$17</f>
        <v>-90865.476</v>
      </c>
      <c r="AE16" s="52" t="n">
        <f aca="false">-AE14*前提条件!$C$17</f>
        <v>-98019.5904</v>
      </c>
      <c r="AF16" s="52" t="n">
        <f aca="false">-AF14*前提条件!$C$17</f>
        <v>-104968.1268</v>
      </c>
      <c r="AG16" s="52" t="n">
        <f aca="false">-AG14*前提条件!$C$17</f>
        <v>-111669.9696</v>
      </c>
      <c r="AH16" s="52" t="n">
        <f aca="false">-AH14*前提条件!$C$17</f>
        <v>-118166.2344</v>
      </c>
      <c r="AI16" s="52" t="n">
        <f aca="false">-AI14*前提条件!$C$17</f>
        <v>-124498.0368</v>
      </c>
      <c r="AJ16" s="52" t="n">
        <f aca="false">-AJ14*前提条件!$C$17</f>
        <v>-130624.2612</v>
      </c>
      <c r="AK16" s="52" t="n">
        <f aca="false">-AK14*前提条件!$C$17</f>
        <v>-136544.9076</v>
      </c>
      <c r="AL16" s="52" t="n">
        <f aca="false">-AL14*前提条件!$C$17</f>
        <v>-142301.0916</v>
      </c>
    </row>
    <row r="17" customFormat="false" ht="15" hidden="false" customHeight="false" outlineLevel="0" collapsed="false">
      <c r="B17" s="3" t="s">
        <v>126</v>
      </c>
      <c r="C17" s="53" t="n">
        <f aca="false">C14+C15+C16</f>
        <v>4985.78563636364</v>
      </c>
      <c r="D17" s="53" t="n">
        <f aca="false">D14+D15+D16</f>
        <v>15954.5140363636</v>
      </c>
      <c r="E17" s="53" t="n">
        <f aca="false">E14+E15+E16</f>
        <v>28917.5566909091</v>
      </c>
      <c r="F17" s="53" t="n">
        <f aca="false">F14+F15+F16</f>
        <v>42877.7564727273</v>
      </c>
      <c r="G17" s="53" t="n">
        <f aca="false">G14+G15+G16</f>
        <v>57835.1133818182</v>
      </c>
      <c r="H17" s="53" t="n">
        <f aca="false">H14+H15+H16</f>
        <v>74786.7845454546</v>
      </c>
      <c r="I17" s="53" t="n">
        <f aca="false">I14+I15+I16</f>
        <v>94729.9270909091</v>
      </c>
      <c r="J17" s="53" t="n">
        <f aca="false">J14+J15+J16</f>
        <v>116667.383890909</v>
      </c>
      <c r="K17" s="53" t="n">
        <f aca="false">K14+K15+K16</f>
        <v>140599.154945455</v>
      </c>
      <c r="L17" s="53" t="n">
        <f aca="false">L14+L15+L16</f>
        <v>169516.711636364</v>
      </c>
      <c r="M17" s="53" t="n">
        <f aca="false">M14+M15+M16</f>
        <v>202422.896836364</v>
      </c>
      <c r="N17" s="53" t="n">
        <f aca="false">N14+N15+N16</f>
        <v>239317.710545455</v>
      </c>
      <c r="O17" s="53" t="n">
        <f aca="false">O14+O15+O16</f>
        <v>282195.467018182</v>
      </c>
      <c r="P17" s="53" t="n">
        <f aca="false">P14+P15+P16</f>
        <v>331056.166254545</v>
      </c>
      <c r="Q17" s="53" t="n">
        <f aca="false">Q14+Q15+Q16</f>
        <v>386896.965381818</v>
      </c>
      <c r="R17" s="53" t="n">
        <f aca="false">R14+R15+R16</f>
        <v>451712.178654545</v>
      </c>
      <c r="S17" s="53" t="n">
        <f aca="false">S14+S15+S16</f>
        <v>526498.9632</v>
      </c>
      <c r="T17" s="53" t="n">
        <f aca="false">T14+T15+T16</f>
        <v>611257.319018182</v>
      </c>
      <c r="U17" s="53" t="n">
        <f aca="false">U14+U15+U16</f>
        <v>707981.560363636</v>
      </c>
      <c r="V17" s="53" t="n">
        <f aca="false">V14+V15+V16</f>
        <v>819663.158618182</v>
      </c>
      <c r="W17" s="53" t="n">
        <f aca="false">W14+W15+W16</f>
        <v>948296.428036364</v>
      </c>
      <c r="X17" s="53" t="n">
        <f aca="false">X14+X15+X16</f>
        <v>1095875.68287273</v>
      </c>
      <c r="Y17" s="53" t="n">
        <f aca="false">Y14+Y15+Y16</f>
        <v>1264395.23738182</v>
      </c>
      <c r="Z17" s="53" t="n">
        <f aca="false">Z14+Z15+Z16</f>
        <v>1453855.09156364</v>
      </c>
      <c r="AA17" s="53" t="n">
        <f aca="false">AA14+AA15+AA16</f>
        <v>1650295.04563636</v>
      </c>
      <c r="AB17" s="53" t="n">
        <f aca="false">AB14+AB15+AB16</f>
        <v>1840752.05694545</v>
      </c>
      <c r="AC17" s="53" t="n">
        <f aca="false">AC14+AC15+AC16</f>
        <v>2025226.12549091</v>
      </c>
      <c r="AD17" s="53" t="n">
        <f aca="false">AD14+AD15+AD16</f>
        <v>2203717.25127273</v>
      </c>
      <c r="AE17" s="53" t="n">
        <f aca="false">AE14+AE15+AE16</f>
        <v>2377222.59141818</v>
      </c>
      <c r="AF17" s="53" t="n">
        <f aca="false">AF14+AF15+AF16</f>
        <v>2545742.14592727</v>
      </c>
      <c r="AG17" s="53" t="n">
        <f aca="false">AG14+AG15+AG16</f>
        <v>2708278.75767273</v>
      </c>
      <c r="AH17" s="53" t="n">
        <f aca="false">AH14+AH15+AH16</f>
        <v>2865829.58378182</v>
      </c>
      <c r="AI17" s="53" t="n">
        <f aca="false">AI14+AI15+AI16</f>
        <v>3019391.78138182</v>
      </c>
      <c r="AJ17" s="53" t="n">
        <f aca="false">AJ14+AJ15+AJ16</f>
        <v>3167968.19334545</v>
      </c>
      <c r="AK17" s="53" t="n">
        <f aca="false">AK14+AK15+AK16</f>
        <v>3311558.81967273</v>
      </c>
      <c r="AL17" s="53" t="n">
        <f aca="false">AL14+AL15+AL16</f>
        <v>3451160.81749091</v>
      </c>
    </row>
    <row r="18" customFormat="false" ht="15" hidden="false" customHeight="false" outlineLevel="0" collapsed="false">
      <c r="B18" s="5" t="s">
        <v>171</v>
      </c>
      <c r="C18" s="52" t="n">
        <f aca="false">-C17*前提条件!$C$18</f>
        <v>-2243.60353636364</v>
      </c>
      <c r="D18" s="52" t="n">
        <f aca="false">-D17*前提条件!$C$18</f>
        <v>-7179.53131636364</v>
      </c>
      <c r="E18" s="52" t="n">
        <f aca="false">-E17*前提条件!$C$18</f>
        <v>-13012.9005109091</v>
      </c>
      <c r="F18" s="52" t="n">
        <f aca="false">-F17*前提条件!$C$18</f>
        <v>-19294.9904127273</v>
      </c>
      <c r="G18" s="52" t="n">
        <f aca="false">-G17*前提条件!$C$18</f>
        <v>-26025.8010218182</v>
      </c>
      <c r="H18" s="52" t="n">
        <f aca="false">-H17*前提条件!$C$18</f>
        <v>-33654.0530454545</v>
      </c>
      <c r="I18" s="52" t="n">
        <f aca="false">-I17*前提条件!$C$18</f>
        <v>-42628.4671909091</v>
      </c>
      <c r="J18" s="52" t="n">
        <f aca="false">-J17*前提条件!$C$18</f>
        <v>-52500.3227509091</v>
      </c>
      <c r="K18" s="52" t="n">
        <f aca="false">-K17*前提条件!$C$18</f>
        <v>-63269.6197254545</v>
      </c>
      <c r="L18" s="52" t="n">
        <f aca="false">-L17*前提条件!$C$18</f>
        <v>-76282.5202363636</v>
      </c>
      <c r="M18" s="52" t="n">
        <f aca="false">-M17*前提条件!$C$18</f>
        <v>-91090.3035763636</v>
      </c>
      <c r="N18" s="52" t="n">
        <f aca="false">-N17*前提条件!$C$18</f>
        <v>-107692.969745455</v>
      </c>
      <c r="O18" s="52" t="n">
        <f aca="false">-O17*前提条件!$C$18</f>
        <v>-126987.960158182</v>
      </c>
      <c r="P18" s="52" t="n">
        <f aca="false">-P17*前提条件!$C$18</f>
        <v>-148975.274814545</v>
      </c>
      <c r="Q18" s="52" t="n">
        <f aca="false">-Q17*前提条件!$C$18</f>
        <v>-174103.634421818</v>
      </c>
      <c r="R18" s="52" t="n">
        <f aca="false">-R17*前提条件!$C$18</f>
        <v>-203270.480394545</v>
      </c>
      <c r="S18" s="52" t="n">
        <f aca="false">-S17*前提条件!$C$18</f>
        <v>-236924.53344</v>
      </c>
      <c r="T18" s="52" t="n">
        <f aca="false">-T17*前提条件!$C$18</f>
        <v>-275065.793558182</v>
      </c>
      <c r="U18" s="52" t="n">
        <f aca="false">-U17*前提条件!$C$18</f>
        <v>-318591.702163636</v>
      </c>
      <c r="V18" s="52" t="n">
        <f aca="false">-V17*前提条件!$C$18</f>
        <v>-368848.421378182</v>
      </c>
      <c r="W18" s="52" t="n">
        <f aca="false">-W17*前提条件!$C$18</f>
        <v>-426733.392616364</v>
      </c>
      <c r="X18" s="52" t="n">
        <f aca="false">-X17*前提条件!$C$18</f>
        <v>-493144.057292727</v>
      </c>
      <c r="Y18" s="52" t="n">
        <f aca="false">-Y17*前提条件!$C$18</f>
        <v>-568977.856821818</v>
      </c>
      <c r="Z18" s="52" t="n">
        <f aca="false">-Z17*前提条件!$C$18</f>
        <v>-654234.791203636</v>
      </c>
      <c r="AA18" s="52" t="n">
        <f aca="false">-AA17*前提条件!$C$18</f>
        <v>-742632.770536364</v>
      </c>
      <c r="AB18" s="52" t="n">
        <f aca="false">-AB17*前提条件!$C$18</f>
        <v>-828338.425625454</v>
      </c>
      <c r="AC18" s="52" t="n">
        <f aca="false">-AC17*前提条件!$C$18</f>
        <v>-911351.756470909</v>
      </c>
      <c r="AD18" s="52" t="n">
        <f aca="false">-AD17*前提条件!$C$18</f>
        <v>-991672.763072728</v>
      </c>
      <c r="AE18" s="52" t="n">
        <f aca="false">-AE17*前提条件!$C$18</f>
        <v>-1069750.16613818</v>
      </c>
      <c r="AF18" s="52" t="n">
        <f aca="false">-AF17*前提条件!$C$18</f>
        <v>-1145583.96566727</v>
      </c>
      <c r="AG18" s="52" t="n">
        <f aca="false">-AG17*前提条件!$C$18</f>
        <v>-1218725.44095273</v>
      </c>
      <c r="AH18" s="52" t="n">
        <f aca="false">-AH17*前提条件!$C$18</f>
        <v>-1289623.31270182</v>
      </c>
      <c r="AI18" s="52" t="n">
        <f aca="false">-AI17*前提条件!$C$18</f>
        <v>-1358726.30162182</v>
      </c>
      <c r="AJ18" s="52" t="n">
        <f aca="false">-AJ17*前提条件!$C$18</f>
        <v>-1425585.68700545</v>
      </c>
      <c r="AK18" s="52" t="n">
        <f aca="false">-AK17*前提条件!$C$18</f>
        <v>-1490201.46885273</v>
      </c>
      <c r="AL18" s="52" t="n">
        <f aca="false">-AL17*前提条件!$C$18</f>
        <v>-1553022.36787091</v>
      </c>
    </row>
    <row r="19" customFormat="false" ht="15" hidden="false" customHeight="false" outlineLevel="0" collapsed="false">
      <c r="B19" s="36" t="s">
        <v>172</v>
      </c>
      <c r="C19" s="54" t="n">
        <f aca="false">C17+C18</f>
        <v>2742.1821</v>
      </c>
      <c r="D19" s="54" t="n">
        <f aca="false">D17+D18</f>
        <v>8774.98272</v>
      </c>
      <c r="E19" s="54" t="n">
        <f aca="false">E17+E18</f>
        <v>15904.65618</v>
      </c>
      <c r="F19" s="54" t="n">
        <f aca="false">F17+F18</f>
        <v>23582.76606</v>
      </c>
      <c r="G19" s="54" t="n">
        <f aca="false">G17+G18</f>
        <v>31809.31236</v>
      </c>
      <c r="H19" s="54" t="n">
        <f aca="false">H17+H18</f>
        <v>41132.7315</v>
      </c>
      <c r="I19" s="54" t="n">
        <f aca="false">I17+I18</f>
        <v>52101.4599</v>
      </c>
      <c r="J19" s="54" t="n">
        <f aca="false">J17+J18</f>
        <v>64167.06114</v>
      </c>
      <c r="K19" s="54" t="n">
        <f aca="false">K17+K18</f>
        <v>77329.53522</v>
      </c>
      <c r="L19" s="54" t="n">
        <f aca="false">L17+L18</f>
        <v>93234.1914</v>
      </c>
      <c r="M19" s="54" t="n">
        <f aca="false">M17+M18</f>
        <v>111332.59326</v>
      </c>
      <c r="N19" s="54" t="n">
        <f aca="false">N17+N18</f>
        <v>131624.7408</v>
      </c>
      <c r="O19" s="54" t="n">
        <f aca="false">O17+O18</f>
        <v>155207.50686</v>
      </c>
      <c r="P19" s="54" t="n">
        <f aca="false">P17+P18</f>
        <v>182080.89144</v>
      </c>
      <c r="Q19" s="54" t="n">
        <f aca="false">Q17+Q18</f>
        <v>212793.33096</v>
      </c>
      <c r="R19" s="54" t="n">
        <f aca="false">R17+R18</f>
        <v>248441.69826</v>
      </c>
      <c r="S19" s="54" t="n">
        <f aca="false">S17+S18</f>
        <v>289574.42976</v>
      </c>
      <c r="T19" s="54" t="n">
        <f aca="false">T17+T18</f>
        <v>336191.52546</v>
      </c>
      <c r="U19" s="54" t="n">
        <f aca="false">U17+U18</f>
        <v>389389.8582</v>
      </c>
      <c r="V19" s="54" t="n">
        <f aca="false">V17+V18</f>
        <v>450814.73724</v>
      </c>
      <c r="W19" s="54" t="n">
        <f aca="false">W17+W18</f>
        <v>521563.03542</v>
      </c>
      <c r="X19" s="54" t="n">
        <f aca="false">X17+X18</f>
        <v>602731.62558</v>
      </c>
      <c r="Y19" s="54" t="n">
        <f aca="false">Y17+Y18</f>
        <v>695417.38056</v>
      </c>
      <c r="Z19" s="54" t="n">
        <f aca="false">Z17+Z18</f>
        <v>799620.30036</v>
      </c>
      <c r="AA19" s="54" t="n">
        <f aca="false">AA17+AA18</f>
        <v>907662.2751</v>
      </c>
      <c r="AB19" s="54" t="n">
        <f aca="false">AB17+AB18</f>
        <v>1012413.63132</v>
      </c>
      <c r="AC19" s="54" t="n">
        <f aca="false">AC17+AC18</f>
        <v>1113874.36902</v>
      </c>
      <c r="AD19" s="54" t="n">
        <f aca="false">AD17+AD18</f>
        <v>1212044.4882</v>
      </c>
      <c r="AE19" s="54" t="n">
        <f aca="false">AE17+AE18</f>
        <v>1307472.42528</v>
      </c>
      <c r="AF19" s="54" t="n">
        <f aca="false">AF17+AF18</f>
        <v>1400158.18026</v>
      </c>
      <c r="AG19" s="54" t="n">
        <f aca="false">AG17+AG18</f>
        <v>1489553.31672</v>
      </c>
      <c r="AH19" s="54" t="n">
        <f aca="false">AH17+AH18</f>
        <v>1576206.27108</v>
      </c>
      <c r="AI19" s="54" t="n">
        <f aca="false">AI17+AI18</f>
        <v>1660665.47976</v>
      </c>
      <c r="AJ19" s="54" t="n">
        <f aca="false">AJ17+AJ18</f>
        <v>1742382.50634</v>
      </c>
      <c r="AK19" s="54" t="n">
        <f aca="false">AK17+AK18</f>
        <v>1821357.35082</v>
      </c>
      <c r="AL19" s="54" t="n">
        <f aca="false">AL17+AL18</f>
        <v>1898138.44962</v>
      </c>
    </row>
    <row r="21" customFormat="false" ht="15" hidden="false" customHeight="false" outlineLevel="0" collapsed="false">
      <c r="B21" s="36" t="s">
        <v>173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customFormat="false" ht="15" hidden="false" customHeight="false" outlineLevel="0" collapsed="false">
      <c r="B22" s="5" t="s">
        <v>174</v>
      </c>
      <c r="C22" s="49" t="n">
        <f aca="false">前提条件!$C$45+前提条件!$C$46*1</f>
        <v>5000</v>
      </c>
      <c r="D22" s="49" t="n">
        <f aca="false">前提条件!$C$45+前提条件!$C$46*2</f>
        <v>7000</v>
      </c>
      <c r="E22" s="49" t="n">
        <f aca="false">前提条件!$C$45+前提条件!$C$46*3</f>
        <v>9000</v>
      </c>
      <c r="F22" s="49" t="n">
        <f aca="false">前提条件!$C$45+前提条件!$C$46*4</f>
        <v>11000</v>
      </c>
      <c r="G22" s="49" t="n">
        <f aca="false">前提条件!$C$45+前提条件!$C$46*5</f>
        <v>13000</v>
      </c>
      <c r="H22" s="49" t="n">
        <f aca="false">前提条件!$C$45+前提条件!$C$46*6</f>
        <v>15000</v>
      </c>
      <c r="I22" s="49" t="n">
        <f aca="false">前提条件!$C$45+前提条件!$C$46*7</f>
        <v>17000</v>
      </c>
      <c r="J22" s="49" t="n">
        <f aca="false">前提条件!$C$45+前提条件!$C$46*8</f>
        <v>19000</v>
      </c>
      <c r="K22" s="49" t="n">
        <f aca="false">前提条件!$C$45+前提条件!$C$46*9</f>
        <v>21000</v>
      </c>
      <c r="L22" s="49" t="n">
        <f aca="false">前提条件!$C$45+前提条件!$C$46*10</f>
        <v>23000</v>
      </c>
      <c r="M22" s="49" t="n">
        <f aca="false">前提条件!$C$45+前提条件!$C$46*11</f>
        <v>25000</v>
      </c>
      <c r="N22" s="49" t="n">
        <f aca="false">前提条件!$C$45+前提条件!$C$46*12</f>
        <v>27000</v>
      </c>
      <c r="O22" s="49" t="n">
        <f aca="false">前提条件!$C$45+前提条件!$C$46*13</f>
        <v>29000</v>
      </c>
      <c r="P22" s="49" t="n">
        <f aca="false">前提条件!$C$45+前提条件!$C$46*14</f>
        <v>31000</v>
      </c>
      <c r="Q22" s="49" t="n">
        <f aca="false">前提条件!$C$45+前提条件!$C$46*15</f>
        <v>33000</v>
      </c>
      <c r="R22" s="49" t="n">
        <f aca="false">前提条件!$C$45+前提条件!$C$46*16</f>
        <v>35000</v>
      </c>
      <c r="S22" s="49" t="n">
        <f aca="false">前提条件!$C$45+前提条件!$C$46*17</f>
        <v>37000</v>
      </c>
      <c r="T22" s="49" t="n">
        <f aca="false">前提条件!$C$45+前提条件!$C$46*18</f>
        <v>39000</v>
      </c>
      <c r="U22" s="49" t="n">
        <f aca="false">前提条件!$C$45+前提条件!$C$46*19</f>
        <v>41000</v>
      </c>
      <c r="V22" s="49" t="n">
        <f aca="false">前提条件!$C$45+前提条件!$C$46*20</f>
        <v>43000</v>
      </c>
      <c r="W22" s="49" t="n">
        <f aca="false">前提条件!$C$45+前提条件!$C$46*21</f>
        <v>45000</v>
      </c>
      <c r="X22" s="49" t="n">
        <f aca="false">前提条件!$C$45+前提条件!$C$46*22</f>
        <v>47000</v>
      </c>
      <c r="Y22" s="49" t="n">
        <f aca="false">前提条件!$C$45+前提条件!$C$46*23</f>
        <v>49000</v>
      </c>
      <c r="Z22" s="49" t="n">
        <f aca="false">前提条件!$C$45+前提条件!$C$46*24</f>
        <v>51000</v>
      </c>
      <c r="AA22" s="49" t="n">
        <f aca="false">前提条件!$C$45+前提条件!$C$46*25</f>
        <v>53000</v>
      </c>
      <c r="AB22" s="49" t="n">
        <f aca="false">前提条件!$C$45+前提条件!$C$46*26</f>
        <v>55000</v>
      </c>
      <c r="AC22" s="49" t="n">
        <f aca="false">前提条件!$C$45+前提条件!$C$46*27</f>
        <v>57000</v>
      </c>
      <c r="AD22" s="49" t="n">
        <f aca="false">前提条件!$C$45+前提条件!$C$46*28</f>
        <v>59000</v>
      </c>
      <c r="AE22" s="49" t="n">
        <f aca="false">前提条件!$C$45+前提条件!$C$46*29</f>
        <v>61000</v>
      </c>
      <c r="AF22" s="49" t="n">
        <f aca="false">前提条件!$C$45+前提条件!$C$46*30</f>
        <v>63000</v>
      </c>
      <c r="AG22" s="49" t="n">
        <f aca="false">前提条件!$C$45+前提条件!$C$46*31</f>
        <v>65000</v>
      </c>
      <c r="AH22" s="49" t="n">
        <f aca="false">前提条件!$C$45+前提条件!$C$46*32</f>
        <v>67000</v>
      </c>
      <c r="AI22" s="49" t="n">
        <f aca="false">前提条件!$C$45+前提条件!$C$46*33</f>
        <v>69000</v>
      </c>
      <c r="AJ22" s="49" t="n">
        <f aca="false">前提条件!$C$45+前提条件!$C$46*34</f>
        <v>71000</v>
      </c>
      <c r="AK22" s="49" t="n">
        <f aca="false">前提条件!$C$45+前提条件!$C$46*35</f>
        <v>73000</v>
      </c>
      <c r="AL22" s="49" t="n">
        <f aca="false">前提条件!$C$45+前提条件!$C$46*36</f>
        <v>75000</v>
      </c>
    </row>
    <row r="23" customFormat="false" ht="15" hidden="false" customHeight="false" outlineLevel="0" collapsed="false">
      <c r="B23" s="5" t="s">
        <v>175</v>
      </c>
      <c r="C23" s="49" t="n">
        <f aca="false">C22*前提条件!$C$44</f>
        <v>210</v>
      </c>
      <c r="D23" s="49" t="n">
        <f aca="false">D22*前提条件!$C$44</f>
        <v>294</v>
      </c>
      <c r="E23" s="49" t="n">
        <f aca="false">E22*前提条件!$C$44</f>
        <v>378</v>
      </c>
      <c r="F23" s="49" t="n">
        <f aca="false">F22*前提条件!$C$44</f>
        <v>462</v>
      </c>
      <c r="G23" s="49" t="n">
        <f aca="false">G22*前提条件!$C$44</f>
        <v>546</v>
      </c>
      <c r="H23" s="49" t="n">
        <f aca="false">H22*前提条件!$C$44</f>
        <v>630</v>
      </c>
      <c r="I23" s="49" t="n">
        <f aca="false">I22*前提条件!$C$44</f>
        <v>714</v>
      </c>
      <c r="J23" s="49" t="n">
        <f aca="false">J22*前提条件!$C$44</f>
        <v>798</v>
      </c>
      <c r="K23" s="49" t="n">
        <f aca="false">K22*前提条件!$C$44</f>
        <v>882</v>
      </c>
      <c r="L23" s="49" t="n">
        <f aca="false">L22*前提条件!$C$44</f>
        <v>966</v>
      </c>
      <c r="M23" s="49" t="n">
        <f aca="false">M22*前提条件!$C$44</f>
        <v>1050</v>
      </c>
      <c r="N23" s="49" t="n">
        <f aca="false">N22*前提条件!$C$44</f>
        <v>1134</v>
      </c>
      <c r="O23" s="49" t="n">
        <f aca="false">O22*前提条件!$C$44</f>
        <v>1218</v>
      </c>
      <c r="P23" s="49" t="n">
        <f aca="false">P22*前提条件!$C$44</f>
        <v>1302</v>
      </c>
      <c r="Q23" s="49" t="n">
        <f aca="false">Q22*前提条件!$C$44</f>
        <v>1386</v>
      </c>
      <c r="R23" s="49" t="n">
        <f aca="false">R22*前提条件!$C$44</f>
        <v>1470</v>
      </c>
      <c r="S23" s="49" t="n">
        <f aca="false">S22*前提条件!$C$44</f>
        <v>1554</v>
      </c>
      <c r="T23" s="49" t="n">
        <f aca="false">T22*前提条件!$C$44</f>
        <v>1638</v>
      </c>
      <c r="U23" s="49" t="n">
        <f aca="false">U22*前提条件!$C$44</f>
        <v>1722</v>
      </c>
      <c r="V23" s="49" t="n">
        <f aca="false">V22*前提条件!$C$44</f>
        <v>1806</v>
      </c>
      <c r="W23" s="49" t="n">
        <f aca="false">W22*前提条件!$C$44</f>
        <v>1890</v>
      </c>
      <c r="X23" s="49" t="n">
        <f aca="false">X22*前提条件!$C$44</f>
        <v>1974</v>
      </c>
      <c r="Y23" s="49" t="n">
        <f aca="false">Y22*前提条件!$C$44</f>
        <v>2058</v>
      </c>
      <c r="Z23" s="49" t="n">
        <f aca="false">Z22*前提条件!$C$44</f>
        <v>2142</v>
      </c>
      <c r="AA23" s="49" t="n">
        <f aca="false">AA22*前提条件!$C$44</f>
        <v>2226</v>
      </c>
      <c r="AB23" s="49" t="n">
        <f aca="false">AB22*前提条件!$C$44</f>
        <v>2310</v>
      </c>
      <c r="AC23" s="49" t="n">
        <f aca="false">AC22*前提条件!$C$44</f>
        <v>2394</v>
      </c>
      <c r="AD23" s="49" t="n">
        <f aca="false">AD22*前提条件!$C$44</f>
        <v>2478</v>
      </c>
      <c r="AE23" s="49" t="n">
        <f aca="false">AE22*前提条件!$C$44</f>
        <v>2562</v>
      </c>
      <c r="AF23" s="49" t="n">
        <f aca="false">AF22*前提条件!$C$44</f>
        <v>2646</v>
      </c>
      <c r="AG23" s="49" t="n">
        <f aca="false">AG22*前提条件!$C$44</f>
        <v>2730</v>
      </c>
      <c r="AH23" s="49" t="n">
        <f aca="false">AH22*前提条件!$C$44</f>
        <v>2814</v>
      </c>
      <c r="AI23" s="49" t="n">
        <f aca="false">AI22*前提条件!$C$44</f>
        <v>2898</v>
      </c>
      <c r="AJ23" s="49" t="n">
        <f aca="false">AJ22*前提条件!$C$44</f>
        <v>2982</v>
      </c>
      <c r="AK23" s="49" t="n">
        <f aca="false">AK22*前提条件!$C$44</f>
        <v>3066</v>
      </c>
      <c r="AL23" s="49" t="n">
        <f aca="false">AL22*前提条件!$C$44</f>
        <v>3150</v>
      </c>
    </row>
    <row r="24" customFormat="false" ht="15" hidden="false" customHeight="false" outlineLevel="0" collapsed="false">
      <c r="B24" s="5" t="s">
        <v>176</v>
      </c>
      <c r="C24" s="52" t="n">
        <f aca="false">-(C23*前提条件!$C$43+前提条件!$C$47+前提条件!$C$46/1000*前提条件!$C$48)*前提条件!$C$42</f>
        <v>-24668.25</v>
      </c>
      <c r="D24" s="52" t="n">
        <f aca="false">-(D23*前提条件!$C$43+前提条件!$C$47+前提条件!$C$46/1000*前提条件!$C$48)*前提条件!$C$42</f>
        <v>-24863.55</v>
      </c>
      <c r="E24" s="52" t="n">
        <f aca="false">-(E23*前提条件!$C$43+前提条件!$C$47+前提条件!$C$46/1000*前提条件!$C$48)*前提条件!$C$42</f>
        <v>-25058.85</v>
      </c>
      <c r="F24" s="52" t="n">
        <f aca="false">-(F23*前提条件!$C$43+前提条件!$C$47+前提条件!$C$46/1000*前提条件!$C$48)*前提条件!$C$42</f>
        <v>-25254.15</v>
      </c>
      <c r="G24" s="52" t="n">
        <f aca="false">-(G23*前提条件!$C$43+前提条件!$C$47+前提条件!$C$46/1000*前提条件!$C$48)*前提条件!$C$42</f>
        <v>-25449.45</v>
      </c>
      <c r="H24" s="52" t="n">
        <f aca="false">-(H23*前提条件!$C$43+前提条件!$C$47+前提条件!$C$46/1000*前提条件!$C$48)*前提条件!$C$42</f>
        <v>-25644.75</v>
      </c>
      <c r="I24" s="52" t="n">
        <f aca="false">-(I23*前提条件!$C$43+前提条件!$C$47+前提条件!$C$46/1000*前提条件!$C$48)*前提条件!$C$42</f>
        <v>-25840.05</v>
      </c>
      <c r="J24" s="52" t="n">
        <f aca="false">-(J23*前提条件!$C$43+前提条件!$C$47+前提条件!$C$46/1000*前提条件!$C$48)*前提条件!$C$42</f>
        <v>-26035.35</v>
      </c>
      <c r="K24" s="52" t="n">
        <f aca="false">-(K23*前提条件!$C$43+前提条件!$C$47+前提条件!$C$46/1000*前提条件!$C$48)*前提条件!$C$42</f>
        <v>-26230.65</v>
      </c>
      <c r="L24" s="52" t="n">
        <f aca="false">-(L23*前提条件!$C$43+前提条件!$C$47+前提条件!$C$46/1000*前提条件!$C$48)*前提条件!$C$42</f>
        <v>-26425.95</v>
      </c>
      <c r="M24" s="52" t="n">
        <f aca="false">-(M23*前提条件!$C$43+前提条件!$C$47+前提条件!$C$46/1000*前提条件!$C$48)*前提条件!$C$42</f>
        <v>-26621.25</v>
      </c>
      <c r="N24" s="52" t="n">
        <f aca="false">-(N23*前提条件!$C$43+前提条件!$C$47+前提条件!$C$46/1000*前提条件!$C$48)*前提条件!$C$42</f>
        <v>-26816.55</v>
      </c>
      <c r="O24" s="52" t="n">
        <f aca="false">-(O23*前提条件!$C$43+前提条件!$C$47+前提条件!$C$46/1000*前提条件!$C$48)*前提条件!$C$42</f>
        <v>-27011.85</v>
      </c>
      <c r="P24" s="52" t="n">
        <f aca="false">-(P23*前提条件!$C$43+前提条件!$C$47+前提条件!$C$46/1000*前提条件!$C$48)*前提条件!$C$42</f>
        <v>-27207.15</v>
      </c>
      <c r="Q24" s="52" t="n">
        <f aca="false">-(Q23*前提条件!$C$43+前提条件!$C$47+前提条件!$C$46/1000*前提条件!$C$48)*前提条件!$C$42</f>
        <v>-27402.45</v>
      </c>
      <c r="R24" s="52" t="n">
        <f aca="false">-(R23*前提条件!$C$43+前提条件!$C$47+前提条件!$C$46/1000*前提条件!$C$48)*前提条件!$C$42</f>
        <v>-27597.75</v>
      </c>
      <c r="S24" s="52" t="n">
        <f aca="false">-(S23*前提条件!$C$43+前提条件!$C$47+前提条件!$C$46/1000*前提条件!$C$48)*前提条件!$C$42</f>
        <v>-27793.05</v>
      </c>
      <c r="T24" s="52" t="n">
        <f aca="false">-(T23*前提条件!$C$43+前提条件!$C$47+前提条件!$C$46/1000*前提条件!$C$48)*前提条件!$C$42</f>
        <v>-27988.35</v>
      </c>
      <c r="U24" s="52" t="n">
        <f aca="false">-(U23*前提条件!$C$43+前提条件!$C$47+前提条件!$C$46/1000*前提条件!$C$48)*前提条件!$C$42</f>
        <v>-28183.65</v>
      </c>
      <c r="V24" s="52" t="n">
        <f aca="false">-(V23*前提条件!$C$43+前提条件!$C$47+前提条件!$C$46/1000*前提条件!$C$48)*前提条件!$C$42</f>
        <v>-28378.95</v>
      </c>
      <c r="W24" s="52" t="n">
        <f aca="false">-(W23*前提条件!$C$43+前提条件!$C$47+前提条件!$C$46/1000*前提条件!$C$48)*前提条件!$C$42</f>
        <v>-28574.25</v>
      </c>
      <c r="X24" s="52" t="n">
        <f aca="false">-(X23*前提条件!$C$43+前提条件!$C$47+前提条件!$C$46/1000*前提条件!$C$48)*前提条件!$C$42</f>
        <v>-28769.55</v>
      </c>
      <c r="Y24" s="52" t="n">
        <f aca="false">-(Y23*前提条件!$C$43+前提条件!$C$47+前提条件!$C$46/1000*前提条件!$C$48)*前提条件!$C$42</f>
        <v>-28964.85</v>
      </c>
      <c r="Z24" s="52" t="n">
        <f aca="false">-(Z23*前提条件!$C$43+前提条件!$C$47+前提条件!$C$46/1000*前提条件!$C$48)*前提条件!$C$42</f>
        <v>-29160.15</v>
      </c>
      <c r="AA24" s="52" t="n">
        <f aca="false">-(AA23*前提条件!$C$43+前提条件!$C$47+前提条件!$C$46/1000*前提条件!$C$48)*前提条件!$C$42</f>
        <v>-29355.45</v>
      </c>
      <c r="AB24" s="52" t="n">
        <f aca="false">-(AB23*前提条件!$C$43+前提条件!$C$47+前提条件!$C$46/1000*前提条件!$C$48)*前提条件!$C$42</f>
        <v>-29550.75</v>
      </c>
      <c r="AC24" s="52" t="n">
        <f aca="false">-(AC23*前提条件!$C$43+前提条件!$C$47+前提条件!$C$46/1000*前提条件!$C$48)*前提条件!$C$42</f>
        <v>-29746.05</v>
      </c>
      <c r="AD24" s="52" t="n">
        <f aca="false">-(AD23*前提条件!$C$43+前提条件!$C$47+前提条件!$C$46/1000*前提条件!$C$48)*前提条件!$C$42</f>
        <v>-29941.35</v>
      </c>
      <c r="AE24" s="52" t="n">
        <f aca="false">-(AE23*前提条件!$C$43+前提条件!$C$47+前提条件!$C$46/1000*前提条件!$C$48)*前提条件!$C$42</f>
        <v>-30136.65</v>
      </c>
      <c r="AF24" s="52" t="n">
        <f aca="false">-(AF23*前提条件!$C$43+前提条件!$C$47+前提条件!$C$46/1000*前提条件!$C$48)*前提条件!$C$42</f>
        <v>-30331.95</v>
      </c>
      <c r="AG24" s="52" t="n">
        <f aca="false">-(AG23*前提条件!$C$43+前提条件!$C$47+前提条件!$C$46/1000*前提条件!$C$48)*前提条件!$C$42</f>
        <v>-30527.25</v>
      </c>
      <c r="AH24" s="52" t="n">
        <f aca="false">-(AH23*前提条件!$C$43+前提条件!$C$47+前提条件!$C$46/1000*前提条件!$C$48)*前提条件!$C$42</f>
        <v>-30722.55</v>
      </c>
      <c r="AI24" s="52" t="n">
        <f aca="false">-(AI23*前提条件!$C$43+前提条件!$C$47+前提条件!$C$46/1000*前提条件!$C$48)*前提条件!$C$42</f>
        <v>-30917.85</v>
      </c>
      <c r="AJ24" s="52" t="n">
        <f aca="false">-(AJ23*前提条件!$C$43+前提条件!$C$47+前提条件!$C$46/1000*前提条件!$C$48)*前提条件!$C$42</f>
        <v>-31113.15</v>
      </c>
      <c r="AK24" s="52" t="n">
        <f aca="false">-(AK23*前提条件!$C$43+前提条件!$C$47+前提条件!$C$46/1000*前提条件!$C$48)*前提条件!$C$42</f>
        <v>-31308.45</v>
      </c>
      <c r="AL24" s="52" t="n">
        <f aca="false">-(AL23*前提条件!$C$43+前提条件!$C$47+前提条件!$C$46/1000*前提条件!$C$48)*前提条件!$C$42</f>
        <v>-31503.75</v>
      </c>
    </row>
    <row r="25" customFormat="false" ht="15" hidden="false" customHeight="false" outlineLevel="0" collapsed="false">
      <c r="B25" s="5" t="s">
        <v>177</v>
      </c>
      <c r="C25" s="52" t="n">
        <f aca="false">-(前提条件!$C$30*前提条件!$C$31+前提条件!$C$32*前提条件!$C$33+前提条件!$C$34*前提条件!$C$35+前提条件!$C$36*前提条件!$C$37)</f>
        <v>-2400000</v>
      </c>
      <c r="D25" s="52" t="n">
        <f aca="false">-(前提条件!$C$30*前提条件!$C$31+前提条件!$C$32*前提条件!$C$33+前提条件!$C$34*前提条件!$C$35+前提条件!$C$36*前提条件!$C$37)</f>
        <v>-2400000</v>
      </c>
      <c r="E25" s="52" t="n">
        <f aca="false">-(前提条件!$C$30*前提条件!$C$31+前提条件!$C$32*前提条件!$C$33+前提条件!$C$34*前提条件!$C$35+前提条件!$C$36*前提条件!$C$37)</f>
        <v>-2400000</v>
      </c>
      <c r="F25" s="52" t="n">
        <f aca="false">-(前提条件!$C$30*前提条件!$C$31+前提条件!$C$32*前提条件!$C$33+前提条件!$C$34*前提条件!$C$35+前提条件!$C$36*前提条件!$C$37)</f>
        <v>-2400000</v>
      </c>
      <c r="G25" s="52" t="n">
        <f aca="false">-(前提条件!$C$30*前提条件!$C$31+前提条件!$C$32*前提条件!$C$33+前提条件!$C$34*前提条件!$C$35+前提条件!$C$36*前提条件!$C$37)</f>
        <v>-2400000</v>
      </c>
      <c r="H25" s="52" t="n">
        <f aca="false">-(前提条件!$C$30*前提条件!$C$31+前提条件!$C$32*前提条件!$C$33+前提条件!$C$34*前提条件!$C$35+前提条件!$C$36*前提条件!$C$37)</f>
        <v>-2400000</v>
      </c>
      <c r="I25" s="52" t="n">
        <f aca="false">-(前提条件!$C$30*前提条件!$C$31+前提条件!$C$32*前提条件!$C$33+前提条件!$C$34*前提条件!$C$35+前提条件!$C$36*前提条件!$C$37)</f>
        <v>-2400000</v>
      </c>
      <c r="J25" s="52" t="n">
        <f aca="false">-(前提条件!$C$30*前提条件!$C$31+前提条件!$C$32*前提条件!$C$33+前提条件!$C$34*前提条件!$C$35+前提条件!$C$36*前提条件!$C$37)</f>
        <v>-2400000</v>
      </c>
      <c r="K25" s="52" t="n">
        <f aca="false">-(前提条件!$C$30*前提条件!$C$31+前提条件!$C$32*前提条件!$C$33+前提条件!$C$34*前提条件!$C$35+前提条件!$C$36*前提条件!$C$37)</f>
        <v>-2400000</v>
      </c>
      <c r="L25" s="52" t="n">
        <f aca="false">-(前提条件!$C$30*前提条件!$C$31+前提条件!$C$32*前提条件!$C$33+前提条件!$C$34*前提条件!$C$35+前提条件!$C$36*前提条件!$C$37)</f>
        <v>-2400000</v>
      </c>
      <c r="M25" s="52" t="n">
        <f aca="false">-(前提条件!$C$30*前提条件!$C$31+前提条件!$C$32*前提条件!$C$33+前提条件!$C$34*前提条件!$C$35+前提条件!$C$36*前提条件!$C$37)</f>
        <v>-2400000</v>
      </c>
      <c r="N25" s="52" t="n">
        <f aca="false">-(前提条件!$C$30*前提条件!$C$31+前提条件!$C$32*前提条件!$C$33+前提条件!$C$34*前提条件!$C$35+前提条件!$C$36*前提条件!$C$37)</f>
        <v>-2400000</v>
      </c>
      <c r="O25" s="52" t="n">
        <f aca="false">-(前提条件!$C$30*前提条件!$C$31+前提条件!$C$32*前提条件!$C$33+前提条件!$C$34*前提条件!$C$35+前提条件!$C$36*前提条件!$C$37)</f>
        <v>-2400000</v>
      </c>
      <c r="P25" s="52" t="n">
        <f aca="false">-(前提条件!$C$30*前提条件!$C$31+前提条件!$C$32*前提条件!$C$33+前提条件!$C$34*前提条件!$C$35+前提条件!$C$36*前提条件!$C$37)</f>
        <v>-2400000</v>
      </c>
      <c r="Q25" s="52" t="n">
        <f aca="false">-(前提条件!$C$30*前提条件!$C$31+前提条件!$C$32*前提条件!$C$33+前提条件!$C$34*前提条件!$C$35+前提条件!$C$36*前提条件!$C$37)</f>
        <v>-2400000</v>
      </c>
      <c r="R25" s="52" t="n">
        <f aca="false">-(前提条件!$C$30*前提条件!$C$31+前提条件!$C$32*前提条件!$C$33+前提条件!$C$34*前提条件!$C$35+前提条件!$C$36*前提条件!$C$37)</f>
        <v>-2400000</v>
      </c>
      <c r="S25" s="52" t="n">
        <f aca="false">-(前提条件!$C$30*前提条件!$C$31+前提条件!$C$32*前提条件!$C$33+前提条件!$C$34*前提条件!$C$35+前提条件!$C$36*前提条件!$C$37)</f>
        <v>-2400000</v>
      </c>
      <c r="T25" s="52" t="n">
        <f aca="false">-(前提条件!$C$30*前提条件!$C$31+前提条件!$C$32*前提条件!$C$33+前提条件!$C$34*前提条件!$C$35+前提条件!$C$36*前提条件!$C$37)</f>
        <v>-2400000</v>
      </c>
      <c r="U25" s="52" t="n">
        <f aca="false">-(前提条件!$C$30*前提条件!$C$31+前提条件!$C$32*前提条件!$C$33+前提条件!$C$34*前提条件!$C$35+前提条件!$C$36*前提条件!$C$37)</f>
        <v>-2400000</v>
      </c>
      <c r="V25" s="52" t="n">
        <f aca="false">-(前提条件!$C$30*前提条件!$C$31+前提条件!$C$32*前提条件!$C$33+前提条件!$C$34*前提条件!$C$35+前提条件!$C$36*前提条件!$C$37)</f>
        <v>-2400000</v>
      </c>
      <c r="W25" s="52" t="n">
        <f aca="false">-(前提条件!$C$30*前提条件!$C$31+前提条件!$C$32*前提条件!$C$33+前提条件!$C$34*前提条件!$C$35+前提条件!$C$36*前提条件!$C$37)</f>
        <v>-2400000</v>
      </c>
      <c r="X25" s="52" t="n">
        <f aca="false">-(前提条件!$C$30*前提条件!$C$31+前提条件!$C$32*前提条件!$C$33+前提条件!$C$34*前提条件!$C$35+前提条件!$C$36*前提条件!$C$37)</f>
        <v>-2400000</v>
      </c>
      <c r="Y25" s="52" t="n">
        <f aca="false">-(前提条件!$C$30*前提条件!$C$31+前提条件!$C$32*前提条件!$C$33+前提条件!$C$34*前提条件!$C$35+前提条件!$C$36*前提条件!$C$37)</f>
        <v>-2400000</v>
      </c>
      <c r="Z25" s="52" t="n">
        <f aca="false">-(前提条件!$C$30*前提条件!$C$31+前提条件!$C$32*前提条件!$C$33+前提条件!$C$34*前提条件!$C$35+前提条件!$C$36*前提条件!$C$37)</f>
        <v>-2400000</v>
      </c>
      <c r="AA25" s="52" t="n">
        <f aca="false">-(前提条件!$C$30*前提条件!$C$31+前提条件!$C$32*前提条件!$C$33+前提条件!$C$34*前提条件!$C$35+前提条件!$C$36*前提条件!$C$37)</f>
        <v>-2400000</v>
      </c>
      <c r="AB25" s="52" t="n">
        <f aca="false">-(前提条件!$C$30*前提条件!$C$31+前提条件!$C$32*前提条件!$C$33+前提条件!$C$34*前提条件!$C$35+前提条件!$C$36*前提条件!$C$37)</f>
        <v>-2400000</v>
      </c>
      <c r="AC25" s="52" t="n">
        <f aca="false">-(前提条件!$C$30*前提条件!$C$31+前提条件!$C$32*前提条件!$C$33+前提条件!$C$34*前提条件!$C$35+前提条件!$C$36*前提条件!$C$37)</f>
        <v>-2400000</v>
      </c>
      <c r="AD25" s="52" t="n">
        <f aca="false">-(前提条件!$C$30*前提条件!$C$31+前提条件!$C$32*前提条件!$C$33+前提条件!$C$34*前提条件!$C$35+前提条件!$C$36*前提条件!$C$37)</f>
        <v>-2400000</v>
      </c>
      <c r="AE25" s="52" t="n">
        <f aca="false">-(前提条件!$C$30*前提条件!$C$31+前提条件!$C$32*前提条件!$C$33+前提条件!$C$34*前提条件!$C$35+前提条件!$C$36*前提条件!$C$37)</f>
        <v>-2400000</v>
      </c>
      <c r="AF25" s="52" t="n">
        <f aca="false">-(前提条件!$C$30*前提条件!$C$31+前提条件!$C$32*前提条件!$C$33+前提条件!$C$34*前提条件!$C$35+前提条件!$C$36*前提条件!$C$37)</f>
        <v>-2400000</v>
      </c>
      <c r="AG25" s="52" t="n">
        <f aca="false">-(前提条件!$C$30*前提条件!$C$31+前提条件!$C$32*前提条件!$C$33+前提条件!$C$34*前提条件!$C$35+前提条件!$C$36*前提条件!$C$37)</f>
        <v>-2400000</v>
      </c>
      <c r="AH25" s="52" t="n">
        <f aca="false">-(前提条件!$C$30*前提条件!$C$31+前提条件!$C$32*前提条件!$C$33+前提条件!$C$34*前提条件!$C$35+前提条件!$C$36*前提条件!$C$37)</f>
        <v>-2400000</v>
      </c>
      <c r="AI25" s="52" t="n">
        <f aca="false">-(前提条件!$C$30*前提条件!$C$31+前提条件!$C$32*前提条件!$C$33+前提条件!$C$34*前提条件!$C$35+前提条件!$C$36*前提条件!$C$37)</f>
        <v>-2400000</v>
      </c>
      <c r="AJ25" s="52" t="n">
        <f aca="false">-(前提条件!$C$30*前提条件!$C$31+前提条件!$C$32*前提条件!$C$33+前提条件!$C$34*前提条件!$C$35+前提条件!$C$36*前提条件!$C$37)</f>
        <v>-2400000</v>
      </c>
      <c r="AK25" s="52" t="n">
        <f aca="false">-(前提条件!$C$30*前提条件!$C$31+前提条件!$C$32*前提条件!$C$33+前提条件!$C$34*前提条件!$C$35+前提条件!$C$36*前提条件!$C$37)</f>
        <v>-2400000</v>
      </c>
      <c r="AL25" s="52" t="n">
        <f aca="false">-(前提条件!$C$30*前提条件!$C$31+前提条件!$C$32*前提条件!$C$33+前提条件!$C$34*前提条件!$C$35+前提条件!$C$36*前提条件!$C$37)</f>
        <v>-2400000</v>
      </c>
    </row>
    <row r="26" customFormat="false" ht="15" hidden="false" customHeight="false" outlineLevel="0" collapsed="false">
      <c r="B26" s="5" t="s">
        <v>178</v>
      </c>
      <c r="C26" s="52" t="n">
        <f aca="false">-(前提条件!$C$38+前提条件!$C$39)</f>
        <v>-250000</v>
      </c>
      <c r="D26" s="52" t="n">
        <f aca="false">-(前提条件!$C$38+前提条件!$C$39)</f>
        <v>-250000</v>
      </c>
      <c r="E26" s="52" t="n">
        <f aca="false">-(前提条件!$C$38+前提条件!$C$39)</f>
        <v>-250000</v>
      </c>
      <c r="F26" s="52" t="n">
        <f aca="false">-(前提条件!$C$38+前提条件!$C$39)</f>
        <v>-250000</v>
      </c>
      <c r="G26" s="52" t="n">
        <f aca="false">-(前提条件!$C$38+前提条件!$C$39)</f>
        <v>-250000</v>
      </c>
      <c r="H26" s="52" t="n">
        <f aca="false">-(前提条件!$C$38+前提条件!$C$39)</f>
        <v>-250000</v>
      </c>
      <c r="I26" s="52" t="n">
        <f aca="false">-(前提条件!$C$38+前提条件!$C$39)</f>
        <v>-250000</v>
      </c>
      <c r="J26" s="52" t="n">
        <f aca="false">-(前提条件!$C$38+前提条件!$C$39)</f>
        <v>-250000</v>
      </c>
      <c r="K26" s="52" t="n">
        <f aca="false">-(前提条件!$C$38+前提条件!$C$39)</f>
        <v>-250000</v>
      </c>
      <c r="L26" s="52" t="n">
        <f aca="false">-(前提条件!$C$38+前提条件!$C$39)</f>
        <v>-250000</v>
      </c>
      <c r="M26" s="52" t="n">
        <f aca="false">-(前提条件!$C$38+前提条件!$C$39)</f>
        <v>-250000</v>
      </c>
      <c r="N26" s="52" t="n">
        <f aca="false">-(前提条件!$C$38+前提条件!$C$39)</f>
        <v>-250000</v>
      </c>
      <c r="O26" s="52" t="n">
        <f aca="false">-(前提条件!$C$38+前提条件!$C$39)</f>
        <v>-250000</v>
      </c>
      <c r="P26" s="52" t="n">
        <f aca="false">-(前提条件!$C$38+前提条件!$C$39)</f>
        <v>-250000</v>
      </c>
      <c r="Q26" s="52" t="n">
        <f aca="false">-(前提条件!$C$38+前提条件!$C$39)</f>
        <v>-250000</v>
      </c>
      <c r="R26" s="52" t="n">
        <f aca="false">-(前提条件!$C$38+前提条件!$C$39)</f>
        <v>-250000</v>
      </c>
      <c r="S26" s="52" t="n">
        <f aca="false">-(前提条件!$C$38+前提条件!$C$39)</f>
        <v>-250000</v>
      </c>
      <c r="T26" s="52" t="n">
        <f aca="false">-(前提条件!$C$38+前提条件!$C$39)</f>
        <v>-250000</v>
      </c>
      <c r="U26" s="52" t="n">
        <f aca="false">-(前提条件!$C$38+前提条件!$C$39)</f>
        <v>-250000</v>
      </c>
      <c r="V26" s="52" t="n">
        <f aca="false">-(前提条件!$C$38+前提条件!$C$39)</f>
        <v>-250000</v>
      </c>
      <c r="W26" s="52" t="n">
        <f aca="false">-(前提条件!$C$38+前提条件!$C$39)</f>
        <v>-250000</v>
      </c>
      <c r="X26" s="52" t="n">
        <f aca="false">-(前提条件!$C$38+前提条件!$C$39)</f>
        <v>-250000</v>
      </c>
      <c r="Y26" s="52" t="n">
        <f aca="false">-(前提条件!$C$38+前提条件!$C$39)</f>
        <v>-250000</v>
      </c>
      <c r="Z26" s="52" t="n">
        <f aca="false">-(前提条件!$C$38+前提条件!$C$39)</f>
        <v>-250000</v>
      </c>
      <c r="AA26" s="52" t="n">
        <f aca="false">-(前提条件!$C$38+前提条件!$C$39)</f>
        <v>-250000</v>
      </c>
      <c r="AB26" s="52" t="n">
        <f aca="false">-(前提条件!$C$38+前提条件!$C$39)</f>
        <v>-250000</v>
      </c>
      <c r="AC26" s="52" t="n">
        <f aca="false">-(前提条件!$C$38+前提条件!$C$39)</f>
        <v>-250000</v>
      </c>
      <c r="AD26" s="52" t="n">
        <f aca="false">-(前提条件!$C$38+前提条件!$C$39)</f>
        <v>-250000</v>
      </c>
      <c r="AE26" s="52" t="n">
        <f aca="false">-(前提条件!$C$38+前提条件!$C$39)</f>
        <v>-250000</v>
      </c>
      <c r="AF26" s="52" t="n">
        <f aca="false">-(前提条件!$C$38+前提条件!$C$39)</f>
        <v>-250000</v>
      </c>
      <c r="AG26" s="52" t="n">
        <f aca="false">-(前提条件!$C$38+前提条件!$C$39)</f>
        <v>-250000</v>
      </c>
      <c r="AH26" s="52" t="n">
        <f aca="false">-(前提条件!$C$38+前提条件!$C$39)</f>
        <v>-250000</v>
      </c>
      <c r="AI26" s="52" t="n">
        <f aca="false">-(前提条件!$C$38+前提条件!$C$39)</f>
        <v>-250000</v>
      </c>
      <c r="AJ26" s="52" t="n">
        <f aca="false">-(前提条件!$C$38+前提条件!$C$39)</f>
        <v>-250000</v>
      </c>
      <c r="AK26" s="52" t="n">
        <f aca="false">-(前提条件!$C$38+前提条件!$C$39)</f>
        <v>-250000</v>
      </c>
      <c r="AL26" s="52" t="n">
        <f aca="false">-(前提条件!$C$38+前提条件!$C$39)</f>
        <v>-250000</v>
      </c>
    </row>
    <row r="27" customFormat="false" ht="15" hidden="false" customHeight="false" outlineLevel="0" collapsed="false">
      <c r="B27" s="5" t="s">
        <v>179</v>
      </c>
      <c r="C27" s="52" t="n">
        <f aca="false">-C8*前提条件!$C$27</f>
        <v>-100000</v>
      </c>
      <c r="D27" s="52" t="n">
        <f aca="false">-D8*前提条件!$C$27</f>
        <v>-120000</v>
      </c>
      <c r="E27" s="52" t="n">
        <f aca="false">-E8*前提条件!$C$27</f>
        <v>-140000</v>
      </c>
      <c r="F27" s="52" t="n">
        <f aca="false">-F8*前提条件!$C$27</f>
        <v>-160000</v>
      </c>
      <c r="G27" s="52" t="n">
        <f aca="false">-G8*前提条件!$C$27</f>
        <v>-180000</v>
      </c>
      <c r="H27" s="52" t="n">
        <f aca="false">-H8*前提条件!$C$27</f>
        <v>-200000</v>
      </c>
      <c r="I27" s="52" t="n">
        <f aca="false">-I8*前提条件!$C$27</f>
        <v>-240000</v>
      </c>
      <c r="J27" s="52" t="n">
        <f aca="false">-J8*前提条件!$C$27</f>
        <v>-260000</v>
      </c>
      <c r="K27" s="52" t="n">
        <f aca="false">-K8*前提条件!$C$27</f>
        <v>-300000</v>
      </c>
      <c r="L27" s="52" t="n">
        <f aca="false">-L8*前提条件!$C$27</f>
        <v>-360000</v>
      </c>
      <c r="M27" s="52" t="n">
        <f aca="false">-M8*前提条件!$C$27</f>
        <v>-400000</v>
      </c>
      <c r="N27" s="52" t="n">
        <f aca="false">-N8*前提条件!$C$27</f>
        <v>-460000</v>
      </c>
      <c r="O27" s="52" t="n">
        <f aca="false">-O8*前提条件!$C$27</f>
        <v>-540000</v>
      </c>
      <c r="P27" s="52" t="n">
        <f aca="false">-P8*前提条件!$C$27</f>
        <v>-620000</v>
      </c>
      <c r="Q27" s="52" t="n">
        <f aca="false">-Q8*前提条件!$C$27</f>
        <v>-700000</v>
      </c>
      <c r="R27" s="52" t="n">
        <f aca="false">-R8*前提条件!$C$27</f>
        <v>-820000</v>
      </c>
      <c r="S27" s="52" t="n">
        <f aca="false">-S8*前提条件!$C$27</f>
        <v>-940000</v>
      </c>
      <c r="T27" s="52" t="n">
        <f aca="false">-T8*前提条件!$C$27</f>
        <v>-1080000</v>
      </c>
      <c r="U27" s="52" t="n">
        <f aca="false">-U8*前提条件!$C$27</f>
        <v>-1240000</v>
      </c>
      <c r="V27" s="52" t="n">
        <f aca="false">-V8*前提条件!$C$27</f>
        <v>-1420000</v>
      </c>
      <c r="W27" s="52" t="n">
        <f aca="false">-W8*前提条件!$C$27</f>
        <v>-1640000</v>
      </c>
      <c r="X27" s="52" t="n">
        <f aca="false">-X8*前提条件!$C$27</f>
        <v>-1880000</v>
      </c>
      <c r="Y27" s="52" t="n">
        <f aca="false">-Y8*前提条件!$C$27</f>
        <v>-2160000</v>
      </c>
      <c r="Z27" s="52" t="n">
        <f aca="false">-Z8*前提条件!$C$27</f>
        <v>-2400000</v>
      </c>
      <c r="AA27" s="52" t="n">
        <f aca="false">-AA8*前提条件!$C$27</f>
        <v>-2400000</v>
      </c>
      <c r="AB27" s="52" t="n">
        <f aca="false">-AB8*前提条件!$C$27</f>
        <v>-2400000</v>
      </c>
      <c r="AC27" s="52" t="n">
        <f aca="false">-AC8*前提条件!$C$27</f>
        <v>-2400000</v>
      </c>
      <c r="AD27" s="52" t="n">
        <f aca="false">-AD8*前提条件!$C$27</f>
        <v>-2400000</v>
      </c>
      <c r="AE27" s="52" t="n">
        <f aca="false">-AE8*前提条件!$C$27</f>
        <v>-2400000</v>
      </c>
      <c r="AF27" s="52" t="n">
        <f aca="false">-AF8*前提条件!$C$27</f>
        <v>-2400000</v>
      </c>
      <c r="AG27" s="52" t="n">
        <f aca="false">-AG8*前提条件!$C$27</f>
        <v>-2400000</v>
      </c>
      <c r="AH27" s="52" t="n">
        <f aca="false">-AH8*前提条件!$C$27</f>
        <v>-2400000</v>
      </c>
      <c r="AI27" s="52" t="n">
        <f aca="false">-AI8*前提条件!$C$27</f>
        <v>-2400000</v>
      </c>
      <c r="AJ27" s="52" t="n">
        <f aca="false">-AJ8*前提条件!$C$27</f>
        <v>-2400000</v>
      </c>
      <c r="AK27" s="52" t="n">
        <f aca="false">-AK8*前提条件!$C$27</f>
        <v>-2400000</v>
      </c>
      <c r="AL27" s="52" t="n">
        <f aca="false">-AL8*前提条件!$C$27</f>
        <v>-2400000</v>
      </c>
    </row>
    <row r="28" customFormat="false" ht="15" hidden="false" customHeight="false" outlineLevel="0" collapsed="false">
      <c r="B28" s="3" t="s">
        <v>180</v>
      </c>
      <c r="C28" s="53" t="n">
        <f aca="false">SUM(C24:C27)</f>
        <v>-2774668.25</v>
      </c>
      <c r="D28" s="53" t="n">
        <f aca="false">SUM(D24:D27)</f>
        <v>-2794863.55</v>
      </c>
      <c r="E28" s="53" t="n">
        <f aca="false">SUM(E24:E27)</f>
        <v>-2815058.85</v>
      </c>
      <c r="F28" s="53" t="n">
        <f aca="false">SUM(F24:F27)</f>
        <v>-2835254.15</v>
      </c>
      <c r="G28" s="53" t="n">
        <f aca="false">SUM(G24:G27)</f>
        <v>-2855449.45</v>
      </c>
      <c r="H28" s="53" t="n">
        <f aca="false">SUM(H24:H27)</f>
        <v>-2875644.75</v>
      </c>
      <c r="I28" s="53" t="n">
        <f aca="false">SUM(I24:I27)</f>
        <v>-2915840.05</v>
      </c>
      <c r="J28" s="53" t="n">
        <f aca="false">SUM(J24:J27)</f>
        <v>-2936035.35</v>
      </c>
      <c r="K28" s="53" t="n">
        <f aca="false">SUM(K24:K27)</f>
        <v>-2976230.65</v>
      </c>
      <c r="L28" s="53" t="n">
        <f aca="false">SUM(L24:L27)</f>
        <v>-3036425.95</v>
      </c>
      <c r="M28" s="53" t="n">
        <f aca="false">SUM(M24:M27)</f>
        <v>-3076621.25</v>
      </c>
      <c r="N28" s="53" t="n">
        <f aca="false">SUM(N24:N27)</f>
        <v>-3136816.55</v>
      </c>
      <c r="O28" s="53" t="n">
        <f aca="false">SUM(O24:O27)</f>
        <v>-3217011.85</v>
      </c>
      <c r="P28" s="53" t="n">
        <f aca="false">SUM(P24:P27)</f>
        <v>-3297207.15</v>
      </c>
      <c r="Q28" s="53" t="n">
        <f aca="false">SUM(Q24:Q27)</f>
        <v>-3377402.45</v>
      </c>
      <c r="R28" s="53" t="n">
        <f aca="false">SUM(R24:R27)</f>
        <v>-3497597.75</v>
      </c>
      <c r="S28" s="53" t="n">
        <f aca="false">SUM(S24:S27)</f>
        <v>-3617793.05</v>
      </c>
      <c r="T28" s="53" t="n">
        <f aca="false">SUM(T24:T27)</f>
        <v>-3757988.35</v>
      </c>
      <c r="U28" s="53" t="n">
        <f aca="false">SUM(U24:U27)</f>
        <v>-3918183.65</v>
      </c>
      <c r="V28" s="53" t="n">
        <f aca="false">SUM(V24:V27)</f>
        <v>-4098378.95</v>
      </c>
      <c r="W28" s="53" t="n">
        <f aca="false">SUM(W24:W27)</f>
        <v>-4318574.25</v>
      </c>
      <c r="X28" s="53" t="n">
        <f aca="false">SUM(X24:X27)</f>
        <v>-4558769.55</v>
      </c>
      <c r="Y28" s="53" t="n">
        <f aca="false">SUM(Y24:Y27)</f>
        <v>-4838964.85</v>
      </c>
      <c r="Z28" s="53" t="n">
        <f aca="false">SUM(Z24:Z27)</f>
        <v>-5079160.15</v>
      </c>
      <c r="AA28" s="53" t="n">
        <f aca="false">SUM(AA24:AA27)</f>
        <v>-5079355.45</v>
      </c>
      <c r="AB28" s="53" t="n">
        <f aca="false">SUM(AB24:AB27)</f>
        <v>-5079550.75</v>
      </c>
      <c r="AC28" s="53" t="n">
        <f aca="false">SUM(AC24:AC27)</f>
        <v>-5079746.05</v>
      </c>
      <c r="AD28" s="53" t="n">
        <f aca="false">SUM(AD24:AD27)</f>
        <v>-5079941.35</v>
      </c>
      <c r="AE28" s="53" t="n">
        <f aca="false">SUM(AE24:AE27)</f>
        <v>-5080136.65</v>
      </c>
      <c r="AF28" s="53" t="n">
        <f aca="false">SUM(AF24:AF27)</f>
        <v>-5080331.95</v>
      </c>
      <c r="AG28" s="53" t="n">
        <f aca="false">SUM(AG24:AG27)</f>
        <v>-5080527.25</v>
      </c>
      <c r="AH28" s="53" t="n">
        <f aca="false">SUM(AH24:AH27)</f>
        <v>-5080722.55</v>
      </c>
      <c r="AI28" s="53" t="n">
        <f aca="false">SUM(AI24:AI27)</f>
        <v>-5080917.85</v>
      </c>
      <c r="AJ28" s="53" t="n">
        <f aca="false">SUM(AJ24:AJ27)</f>
        <v>-5081113.15</v>
      </c>
      <c r="AK28" s="53" t="n">
        <f aca="false">SUM(AK24:AK27)</f>
        <v>-5081308.45</v>
      </c>
      <c r="AL28" s="53" t="n">
        <f aca="false">SUM(AL24:AL27)</f>
        <v>-5081503.75</v>
      </c>
    </row>
    <row r="30" customFormat="false" ht="15" hidden="false" customHeight="false" outlineLevel="0" collapsed="false">
      <c r="B30" s="55" t="s">
        <v>181</v>
      </c>
      <c r="C30" s="56" t="n">
        <f aca="false">C19+C28</f>
        <v>-2771926.0679</v>
      </c>
      <c r="D30" s="56" t="n">
        <f aca="false">D19+D28</f>
        <v>-2786088.56728</v>
      </c>
      <c r="E30" s="56" t="n">
        <f aca="false">E19+E28</f>
        <v>-2799154.19382</v>
      </c>
      <c r="F30" s="56" t="n">
        <f aca="false">F19+F28</f>
        <v>-2811671.38394</v>
      </c>
      <c r="G30" s="56" t="n">
        <f aca="false">G19+G28</f>
        <v>-2823640.13764</v>
      </c>
      <c r="H30" s="56" t="n">
        <f aca="false">H19+H28</f>
        <v>-2834512.0185</v>
      </c>
      <c r="I30" s="56" t="n">
        <f aca="false">I19+I28</f>
        <v>-2863738.5901</v>
      </c>
      <c r="J30" s="56" t="n">
        <f aca="false">J19+J28</f>
        <v>-2871868.28886</v>
      </c>
      <c r="K30" s="56" t="n">
        <f aca="false">K19+K28</f>
        <v>-2898901.11478</v>
      </c>
      <c r="L30" s="56" t="n">
        <f aca="false">L19+L28</f>
        <v>-2943191.7586</v>
      </c>
      <c r="M30" s="56" t="n">
        <f aca="false">M19+M28</f>
        <v>-2965288.65674</v>
      </c>
      <c r="N30" s="56" t="n">
        <f aca="false">N19+N28</f>
        <v>-3005191.8092</v>
      </c>
      <c r="O30" s="56" t="n">
        <f aca="false">O19+O28</f>
        <v>-3061804.34314</v>
      </c>
      <c r="P30" s="56" t="n">
        <f aca="false">P19+P28</f>
        <v>-3115126.25856</v>
      </c>
      <c r="Q30" s="56" t="n">
        <f aca="false">Q19+Q28</f>
        <v>-3164609.11904</v>
      </c>
      <c r="R30" s="56" t="n">
        <f aca="false">R19+R28</f>
        <v>-3249156.05174</v>
      </c>
      <c r="S30" s="56" t="n">
        <f aca="false">S19+S28</f>
        <v>-3328218.62024</v>
      </c>
      <c r="T30" s="56" t="n">
        <f aca="false">T19+T28</f>
        <v>-3421796.82454</v>
      </c>
      <c r="U30" s="56" t="n">
        <f aca="false">U19+U28</f>
        <v>-3528793.7918</v>
      </c>
      <c r="V30" s="56" t="n">
        <f aca="false">V19+V28</f>
        <v>-3647564.21276</v>
      </c>
      <c r="W30" s="56" t="n">
        <f aca="false">W19+W28</f>
        <v>-3797011.21458</v>
      </c>
      <c r="X30" s="56" t="n">
        <f aca="false">X19+X28</f>
        <v>-3956037.92442</v>
      </c>
      <c r="Y30" s="56" t="n">
        <f aca="false">Y19+Y28</f>
        <v>-4143547.46944</v>
      </c>
      <c r="Z30" s="56" t="n">
        <f aca="false">Z19+Z28</f>
        <v>-4279539.84964</v>
      </c>
      <c r="AA30" s="56" t="n">
        <f aca="false">AA19+AA28</f>
        <v>-4171693.1749</v>
      </c>
      <c r="AB30" s="56" t="n">
        <f aca="false">AB19+AB28</f>
        <v>-4067137.11868</v>
      </c>
      <c r="AC30" s="56" t="n">
        <f aca="false">AC19+AC28</f>
        <v>-3965871.68098</v>
      </c>
      <c r="AD30" s="56" t="n">
        <f aca="false">AD19+AD28</f>
        <v>-3867896.8618</v>
      </c>
      <c r="AE30" s="56" t="n">
        <f aca="false">AE19+AE28</f>
        <v>-3772664.22472</v>
      </c>
      <c r="AF30" s="56" t="n">
        <f aca="false">AF19+AF28</f>
        <v>-3680173.76974</v>
      </c>
      <c r="AG30" s="56" t="n">
        <f aca="false">AG19+AG28</f>
        <v>-3590973.93328</v>
      </c>
      <c r="AH30" s="56" t="n">
        <f aca="false">AH19+AH28</f>
        <v>-3504516.27892</v>
      </c>
      <c r="AI30" s="56" t="n">
        <f aca="false">AI19+AI28</f>
        <v>-3420252.37024</v>
      </c>
      <c r="AJ30" s="56" t="n">
        <f aca="false">AJ19+AJ28</f>
        <v>-3338730.64366</v>
      </c>
      <c r="AK30" s="56" t="n">
        <f aca="false">AK19+AK28</f>
        <v>-3259951.09918</v>
      </c>
      <c r="AL30" s="56" t="n">
        <f aca="false">AL19+AL28</f>
        <v>-3183365.30038</v>
      </c>
    </row>
    <row r="31" customFormat="false" ht="15" hidden="false" customHeight="false" outlineLevel="0" collapsed="false">
      <c r="B31" s="3" t="s">
        <v>182</v>
      </c>
      <c r="C31" s="53" t="n">
        <f aca="false">C30</f>
        <v>-2771926.0679</v>
      </c>
      <c r="D31" s="53" t="n">
        <f aca="false">C31+D30</f>
        <v>-5558014.63518</v>
      </c>
      <c r="E31" s="53" t="n">
        <f aca="false">D31+E30</f>
        <v>-8357168.829</v>
      </c>
      <c r="F31" s="53" t="n">
        <f aca="false">E31+F30</f>
        <v>-11168840.21294</v>
      </c>
      <c r="G31" s="53" t="n">
        <f aca="false">F31+G30</f>
        <v>-13992480.35058</v>
      </c>
      <c r="H31" s="53" t="n">
        <f aca="false">G31+H30</f>
        <v>-16826992.36908</v>
      </c>
      <c r="I31" s="53" t="n">
        <f aca="false">H31+I30</f>
        <v>-19690730.95918</v>
      </c>
      <c r="J31" s="53" t="n">
        <f aca="false">I31+J30</f>
        <v>-22562599.24804</v>
      </c>
      <c r="K31" s="53" t="n">
        <f aca="false">J31+K30</f>
        <v>-25461500.36282</v>
      </c>
      <c r="L31" s="53" t="n">
        <f aca="false">K31+L30</f>
        <v>-28404692.12142</v>
      </c>
      <c r="M31" s="53" t="n">
        <f aca="false">L31+M30</f>
        <v>-31369980.77816</v>
      </c>
      <c r="N31" s="53" t="n">
        <f aca="false">M31+N30</f>
        <v>-34375172.58736</v>
      </c>
      <c r="O31" s="53" t="n">
        <f aca="false">N31+O30</f>
        <v>-37436976.9305</v>
      </c>
      <c r="P31" s="53" t="n">
        <f aca="false">O31+P30</f>
        <v>-40552103.18906</v>
      </c>
      <c r="Q31" s="53" t="n">
        <f aca="false">P31+Q30</f>
        <v>-43716712.3081</v>
      </c>
      <c r="R31" s="53" t="n">
        <f aca="false">Q31+R30</f>
        <v>-46965868.35984</v>
      </c>
      <c r="S31" s="53" t="n">
        <f aca="false">R31+S30</f>
        <v>-50294086.98008</v>
      </c>
      <c r="T31" s="53" t="n">
        <f aca="false">S31+T30</f>
        <v>-53715883.80462</v>
      </c>
      <c r="U31" s="53" t="n">
        <f aca="false">T31+U30</f>
        <v>-57244677.59642</v>
      </c>
      <c r="V31" s="53" t="n">
        <f aca="false">U31+V30</f>
        <v>-60892241.80918</v>
      </c>
      <c r="W31" s="53" t="n">
        <f aca="false">V31+W30</f>
        <v>-64689253.02376</v>
      </c>
      <c r="X31" s="53" t="n">
        <f aca="false">W31+X30</f>
        <v>-68645290.94818</v>
      </c>
      <c r="Y31" s="53" t="n">
        <f aca="false">X31+Y30</f>
        <v>-72788838.41762</v>
      </c>
      <c r="Z31" s="53" t="n">
        <f aca="false">Y31+Z30</f>
        <v>-77068378.26726</v>
      </c>
      <c r="AA31" s="53" t="n">
        <f aca="false">Z31+AA30</f>
        <v>-81240071.44216</v>
      </c>
      <c r="AB31" s="53" t="n">
        <f aca="false">AA31+AB30</f>
        <v>-85307208.56084</v>
      </c>
      <c r="AC31" s="53" t="n">
        <f aca="false">AB31+AC30</f>
        <v>-89273080.24182</v>
      </c>
      <c r="AD31" s="53" t="n">
        <f aca="false">AC31+AD30</f>
        <v>-93140977.10362</v>
      </c>
      <c r="AE31" s="53" t="n">
        <f aca="false">AD31+AE30</f>
        <v>-96913641.32834</v>
      </c>
      <c r="AF31" s="53" t="n">
        <f aca="false">AE31+AF30</f>
        <v>-100593815.09808</v>
      </c>
      <c r="AG31" s="53" t="n">
        <f aca="false">AF31+AG30</f>
        <v>-104184789.03136</v>
      </c>
      <c r="AH31" s="53" t="n">
        <f aca="false">AG31+AH30</f>
        <v>-107689305.31028</v>
      </c>
      <c r="AI31" s="53" t="n">
        <f aca="false">AH31+AI30</f>
        <v>-111109557.68052</v>
      </c>
      <c r="AJ31" s="53" t="n">
        <f aca="false">AI31+AJ30</f>
        <v>-114448288.32418</v>
      </c>
      <c r="AK31" s="53" t="n">
        <f aca="false">AJ31+AK30</f>
        <v>-117708239.42336</v>
      </c>
      <c r="AL31" s="53" t="n">
        <f aca="false">AK31+AL30</f>
        <v>-120891604.72374</v>
      </c>
    </row>
    <row r="32" customFormat="false" ht="15" hidden="false" customHeight="false" outlineLevel="0" collapsed="false">
      <c r="B32" s="6" t="s">
        <v>183</v>
      </c>
      <c r="C32" s="52" t="n">
        <f aca="false">C10*単位経済!$E$7</f>
        <v>11421</v>
      </c>
      <c r="D32" s="52" t="n">
        <f aca="false">D10*単位経済!$E$7</f>
        <v>25126.2</v>
      </c>
      <c r="E32" s="52" t="n">
        <f aca="false">E10*単位経済!$E$7</f>
        <v>41115.6</v>
      </c>
      <c r="F32" s="52" t="n">
        <f aca="false">F10*単位経済!$E$7</f>
        <v>57105</v>
      </c>
      <c r="G32" s="52" t="n">
        <f aca="false">G10*単位経済!$E$7</f>
        <v>75378.6</v>
      </c>
      <c r="H32" s="52" t="n">
        <f aca="false">H10*単位経済!$E$7</f>
        <v>95936.4</v>
      </c>
      <c r="I32" s="52" t="n">
        <f aca="false">I10*単位経済!$E$7</f>
        <v>121062.6</v>
      </c>
      <c r="J32" s="52" t="n">
        <f aca="false">J10*単位経済!$E$7</f>
        <v>146188.8</v>
      </c>
      <c r="K32" s="52" t="n">
        <f aca="false">K10*単位経済!$E$7</f>
        <v>175883.4</v>
      </c>
      <c r="L32" s="52" t="n">
        <f aca="false">L10*単位経済!$E$7</f>
        <v>212430.6</v>
      </c>
      <c r="M32" s="52" t="n">
        <f aca="false">M10*単位経済!$E$7</f>
        <v>251262</v>
      </c>
      <c r="N32" s="52" t="n">
        <f aca="false">N10*単位経済!$E$7</f>
        <v>296946</v>
      </c>
      <c r="O32" s="52" t="n">
        <f aca="false">O10*単位経済!$E$7</f>
        <v>349482.6</v>
      </c>
      <c r="P32" s="52" t="n">
        <f aca="false">P10*単位経済!$E$7</f>
        <v>408871.8</v>
      </c>
      <c r="Q32" s="52" t="n">
        <f aca="false">Q10*単位経済!$E$7</f>
        <v>477397.8</v>
      </c>
      <c r="R32" s="52" t="n">
        <f aca="false">R10*単位経済!$E$7</f>
        <v>557344.8</v>
      </c>
      <c r="S32" s="52" t="n">
        <f aca="false">S10*単位経済!$E$7</f>
        <v>648712.8</v>
      </c>
      <c r="T32" s="52" t="n">
        <f aca="false">T10*単位経済!$E$7</f>
        <v>751501.8</v>
      </c>
      <c r="U32" s="52" t="n">
        <f aca="false">U10*単位経済!$E$7</f>
        <v>870280.2</v>
      </c>
      <c r="V32" s="52" t="n">
        <f aca="false">V10*単位経済!$E$7</f>
        <v>1007332.2</v>
      </c>
      <c r="W32" s="52" t="n">
        <f aca="false">W10*単位経済!$E$7</f>
        <v>1164942</v>
      </c>
      <c r="X32" s="52" t="n">
        <f aca="false">X10*単位経済!$E$7</f>
        <v>1345393.8</v>
      </c>
      <c r="Y32" s="52" t="n">
        <f aca="false">Y10*単位経済!$E$7</f>
        <v>1550971.8</v>
      </c>
      <c r="Z32" s="52" t="n">
        <f aca="false">Z10*単位経済!$E$7</f>
        <v>1779391.8</v>
      </c>
      <c r="AA32" s="52" t="n">
        <f aca="false">AA10*単位経済!$E$7</f>
        <v>2000959.2</v>
      </c>
      <c r="AB32" s="52" t="n">
        <f aca="false">AB10*単位経済!$E$7</f>
        <v>2215674</v>
      </c>
      <c r="AC32" s="52" t="n">
        <f aca="false">AC10*単位経済!$E$7</f>
        <v>2423536.2</v>
      </c>
      <c r="AD32" s="52" t="n">
        <f aca="false">AD10*単位経済!$E$7</f>
        <v>2624545.8</v>
      </c>
      <c r="AE32" s="52" t="n">
        <f aca="false">AE10*単位経済!$E$7</f>
        <v>2820987</v>
      </c>
      <c r="AF32" s="52" t="n">
        <f aca="false">AF10*単位経済!$E$7</f>
        <v>3010575.6</v>
      </c>
      <c r="AG32" s="52" t="n">
        <f aca="false">AG10*単位経済!$E$7</f>
        <v>3193311.6</v>
      </c>
      <c r="AH32" s="52" t="n">
        <f aca="false">AH10*単位経済!$E$7</f>
        <v>3371479.2</v>
      </c>
      <c r="AI32" s="52" t="n">
        <f aca="false">AI10*単位経済!$E$7</f>
        <v>3545078.4</v>
      </c>
      <c r="AJ32" s="52" t="n">
        <f aca="false">AJ10*単位経済!$E$7</f>
        <v>3711825</v>
      </c>
      <c r="AK32" s="52" t="n">
        <f aca="false">AK10*単位経済!$E$7</f>
        <v>3874003.2</v>
      </c>
      <c r="AL32" s="52" t="n">
        <f aca="false">AL10*単位経済!$E$7</f>
        <v>4031613</v>
      </c>
    </row>
    <row r="33" customFormat="false" ht="15" hidden="false" customHeight="false" outlineLevel="0" collapsed="false">
      <c r="B33" s="6" t="s">
        <v>184</v>
      </c>
      <c r="C33" s="52" t="n">
        <f aca="false">C32*12</f>
        <v>137052</v>
      </c>
      <c r="D33" s="52" t="n">
        <f aca="false">D32*12</f>
        <v>301514.4</v>
      </c>
      <c r="E33" s="52" t="n">
        <f aca="false">E32*12</f>
        <v>493387.2</v>
      </c>
      <c r="F33" s="52" t="n">
        <f aca="false">F32*12</f>
        <v>685260</v>
      </c>
      <c r="G33" s="52" t="n">
        <f aca="false">G32*12</f>
        <v>904543.2</v>
      </c>
      <c r="H33" s="52" t="n">
        <f aca="false">H32*12</f>
        <v>1151236.8</v>
      </c>
      <c r="I33" s="52" t="n">
        <f aca="false">I32*12</f>
        <v>1452751.2</v>
      </c>
      <c r="J33" s="52" t="n">
        <f aca="false">J32*12</f>
        <v>1754265.6</v>
      </c>
      <c r="K33" s="52" t="n">
        <f aca="false">K32*12</f>
        <v>2110600.8</v>
      </c>
      <c r="L33" s="52" t="n">
        <f aca="false">L32*12</f>
        <v>2549167.2</v>
      </c>
      <c r="M33" s="52" t="n">
        <f aca="false">M32*12</f>
        <v>3015144</v>
      </c>
      <c r="N33" s="52" t="n">
        <f aca="false">N32*12</f>
        <v>3563352</v>
      </c>
      <c r="O33" s="52" t="n">
        <f aca="false">O32*12</f>
        <v>4193791.2</v>
      </c>
      <c r="P33" s="52" t="n">
        <f aca="false">P32*12</f>
        <v>4906461.6</v>
      </c>
      <c r="Q33" s="52" t="n">
        <f aca="false">Q32*12</f>
        <v>5728773.6</v>
      </c>
      <c r="R33" s="52" t="n">
        <f aca="false">R32*12</f>
        <v>6688137.6</v>
      </c>
      <c r="S33" s="52" t="n">
        <f aca="false">S32*12</f>
        <v>7784553.6</v>
      </c>
      <c r="T33" s="52" t="n">
        <f aca="false">T32*12</f>
        <v>9018021.6</v>
      </c>
      <c r="U33" s="52" t="n">
        <f aca="false">U32*12</f>
        <v>10443362.4</v>
      </c>
      <c r="V33" s="52" t="n">
        <f aca="false">V32*12</f>
        <v>12087986.4</v>
      </c>
      <c r="W33" s="52" t="n">
        <f aca="false">W32*12</f>
        <v>13979304</v>
      </c>
      <c r="X33" s="52" t="n">
        <f aca="false">X32*12</f>
        <v>16144725.6</v>
      </c>
      <c r="Y33" s="52" t="n">
        <f aca="false">Y32*12</f>
        <v>18611661.6</v>
      </c>
      <c r="Z33" s="52" t="n">
        <f aca="false">Z32*12</f>
        <v>21352701.6</v>
      </c>
      <c r="AA33" s="52" t="n">
        <f aca="false">AA32*12</f>
        <v>24011510.4</v>
      </c>
      <c r="AB33" s="52" t="n">
        <f aca="false">AB32*12</f>
        <v>26588088</v>
      </c>
      <c r="AC33" s="52" t="n">
        <f aca="false">AC32*12</f>
        <v>29082434.4</v>
      </c>
      <c r="AD33" s="52" t="n">
        <f aca="false">AD32*12</f>
        <v>31494549.6</v>
      </c>
      <c r="AE33" s="52" t="n">
        <f aca="false">AE32*12</f>
        <v>33851844</v>
      </c>
      <c r="AF33" s="52" t="n">
        <f aca="false">AF32*12</f>
        <v>36126907.2</v>
      </c>
      <c r="AG33" s="52" t="n">
        <f aca="false">AG32*12</f>
        <v>38319739.2</v>
      </c>
      <c r="AH33" s="52" t="n">
        <f aca="false">AH32*12</f>
        <v>40457750.4</v>
      </c>
      <c r="AI33" s="52" t="n">
        <f aca="false">AI32*12</f>
        <v>42540940.8</v>
      </c>
      <c r="AJ33" s="52" t="n">
        <f aca="false">AJ32*12</f>
        <v>44541900</v>
      </c>
      <c r="AK33" s="52" t="n">
        <f aca="false">AK32*12</f>
        <v>46488038.4</v>
      </c>
      <c r="AL33" s="52" t="n">
        <f aca="false">AL32*12</f>
        <v>48379356</v>
      </c>
    </row>
    <row r="36" customFormat="false" ht="15" hidden="false" customHeight="false" outlineLevel="0" collapsed="false">
      <c r="B36" s="3" t="s">
        <v>185</v>
      </c>
    </row>
    <row r="37" customFormat="false" ht="15" hidden="false" customHeight="false" outlineLevel="0" collapsed="false">
      <c r="B37" s="6" t="s">
        <v>186</v>
      </c>
      <c r="C37" s="57" t="n">
        <f aca="false">AL10</f>
        <v>1765</v>
      </c>
    </row>
    <row r="38" customFormat="false" ht="15" hidden="false" customHeight="false" outlineLevel="0" collapsed="false">
      <c r="B38" s="6" t="s">
        <v>187</v>
      </c>
      <c r="C38" s="58" t="n">
        <f aca="false">AL32</f>
        <v>4031613</v>
      </c>
    </row>
    <row r="39" customFormat="false" ht="15" hidden="false" customHeight="false" outlineLevel="0" collapsed="false">
      <c r="B39" s="6" t="s">
        <v>188</v>
      </c>
      <c r="C39" s="58" t="n">
        <f aca="false">AL33</f>
        <v>48379356</v>
      </c>
    </row>
    <row r="40" customFormat="false" ht="15" hidden="false" customHeight="false" outlineLevel="0" collapsed="false">
      <c r="B40" s="5" t="s">
        <v>189</v>
      </c>
      <c r="C40" s="57" t="str">
        <f aca="false">IFERROR(MATCH(TRUE(),INDEX(C30:AL30&gt;0,0),0),"36ヶ月内に達成せず")</f>
        <v>36ヶ月内に達成せず</v>
      </c>
    </row>
    <row r="41" customFormat="false" ht="15" hidden="false" customHeight="false" outlineLevel="0" collapsed="false">
      <c r="B41" s="5" t="s">
        <v>190</v>
      </c>
      <c r="C41" s="57" t="str">
        <f aca="false">IFERROR(MATCH(TRUE(),INDEX(C31:AL31&gt;0,0),0),"36ヶ月内に達成せず")</f>
        <v>36ヶ月内に達成せず</v>
      </c>
    </row>
    <row r="42" customFormat="false" ht="15" hidden="false" customHeight="false" outlineLevel="0" collapsed="false">
      <c r="B42" s="5" t="s">
        <v>191</v>
      </c>
      <c r="C42" s="58" t="n">
        <f aca="false">MIN(C31:AL31)</f>
        <v>-120891604.72374</v>
      </c>
    </row>
    <row r="43" customFormat="false" ht="15" hidden="false" customHeight="false" outlineLevel="0" collapsed="false">
      <c r="B43" s="17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4"/>
    <col collapsed="false" customWidth="true" hidden="false" outlineLevel="0" max="9" min="9" style="0" width="46"/>
  </cols>
  <sheetData>
    <row r="2" customFormat="false" ht="17.35" hidden="false" customHeight="false" outlineLevel="0" collapsed="false">
      <c r="B2" s="10" t="s">
        <v>193</v>
      </c>
    </row>
    <row r="3" customFormat="false" ht="15" hidden="false" customHeight="false" outlineLevel="0" collapsed="false">
      <c r="B3" s="11" t="s">
        <v>194</v>
      </c>
    </row>
    <row r="5" customFormat="false" ht="15" hidden="false" customHeight="false" outlineLevel="0" collapsed="false">
      <c r="B5" s="13" t="s">
        <v>195</v>
      </c>
      <c r="C5" s="14"/>
      <c r="D5" s="14"/>
      <c r="E5" s="14"/>
      <c r="F5" s="14"/>
      <c r="G5" s="14"/>
      <c r="H5" s="14"/>
      <c r="I5" s="14"/>
    </row>
    <row r="6" customFormat="false" ht="15" hidden="false" customHeight="false" outlineLevel="0" collapsed="false">
      <c r="B6" s="5" t="s">
        <v>177</v>
      </c>
      <c r="C6" s="32" t="n">
        <f aca="false">前提条件!$C$30*前提条件!$C$31+前提条件!$C$32*前提条件!$C$33+前提条件!$C$34*前提条件!$C$35+前提条件!$C$36*前提条件!$C$37</f>
        <v>2400000</v>
      </c>
    </row>
    <row r="7" customFormat="false" ht="15" hidden="false" customHeight="false" outlineLevel="0" collapsed="false">
      <c r="B7" s="5" t="s">
        <v>178</v>
      </c>
      <c r="C7" s="32" t="n">
        <f aca="false">前提条件!$C$38+前提条件!$C$39</f>
        <v>250000</v>
      </c>
    </row>
    <row r="8" customFormat="false" ht="15" hidden="false" customHeight="false" outlineLevel="0" collapsed="false">
      <c r="B8" s="5" t="s">
        <v>196</v>
      </c>
      <c r="C8" s="32" t="n">
        <f aca="false">前提条件!$C$47*前提条件!$C$42</f>
        <v>21700</v>
      </c>
    </row>
    <row r="9" customFormat="false" ht="15" hidden="false" customHeight="false" outlineLevel="0" collapsed="false">
      <c r="B9" s="3" t="s">
        <v>197</v>
      </c>
      <c r="C9" s="58" t="n">
        <f aca="false">SUM(C6:C8)</f>
        <v>2671700</v>
      </c>
      <c r="I9" s="17" t="s">
        <v>198</v>
      </c>
    </row>
    <row r="11" customFormat="false" ht="15" hidden="false" customHeight="false" outlineLevel="0" collapsed="false">
      <c r="B11" s="13" t="s">
        <v>199</v>
      </c>
      <c r="C11" s="14"/>
      <c r="D11" s="14"/>
      <c r="E11" s="14"/>
      <c r="F11" s="14"/>
      <c r="G11" s="14"/>
      <c r="H11" s="14"/>
      <c r="I11" s="14"/>
    </row>
    <row r="12" customFormat="false" ht="15" hidden="false" customHeight="false" outlineLevel="0" collapsed="false">
      <c r="B12" s="6" t="s">
        <v>200</v>
      </c>
      <c r="C12" s="59" t="n">
        <f aca="false">単位経済!$E$12</f>
        <v>1096.87284</v>
      </c>
      <c r="I12" s="17" t="s">
        <v>201</v>
      </c>
    </row>
    <row r="13" customFormat="false" ht="15" hidden="false" customHeight="false" outlineLevel="0" collapsed="false">
      <c r="B13" s="3" t="s">
        <v>202</v>
      </c>
      <c r="C13" s="57" t="n">
        <f aca="false">ROUNDUP(C9/C12,0)</f>
        <v>2436</v>
      </c>
      <c r="I13" s="17" t="s">
        <v>203</v>
      </c>
    </row>
    <row r="14" customFormat="false" ht="15" hidden="false" customHeight="false" outlineLevel="0" collapsed="false">
      <c r="B14" s="5" t="s">
        <v>204</v>
      </c>
      <c r="C14" s="60" t="n">
        <f aca="false">ROUNDUP((C9+前提条件!$C$23*前提条件!$C$27*0.5)/C12,0)</f>
        <v>3530</v>
      </c>
      <c r="I14" s="17" t="s">
        <v>205</v>
      </c>
    </row>
    <row r="16" customFormat="false" ht="15" hidden="false" customHeight="false" outlineLevel="0" collapsed="false">
      <c r="B16" s="13" t="s">
        <v>206</v>
      </c>
      <c r="C16" s="14"/>
      <c r="D16" s="14"/>
      <c r="E16" s="14"/>
      <c r="F16" s="14"/>
      <c r="G16" s="14"/>
      <c r="H16" s="14"/>
      <c r="I16" s="14"/>
    </row>
    <row r="17" customFormat="false" ht="15" hidden="false" customHeight="false" outlineLevel="0" collapsed="false">
      <c r="B17" s="17" t="s">
        <v>207</v>
      </c>
    </row>
    <row r="18" customFormat="false" ht="15" hidden="false" customHeight="false" outlineLevel="0" collapsed="false">
      <c r="B18" s="47" t="s">
        <v>208</v>
      </c>
      <c r="C18" s="61" t="n">
        <v>0.3</v>
      </c>
      <c r="D18" s="61" t="n">
        <v>0.35</v>
      </c>
      <c r="E18" s="61" t="n">
        <v>0.4</v>
      </c>
      <c r="F18" s="61" t="n">
        <v>0.45</v>
      </c>
      <c r="G18" s="61" t="n">
        <v>0.5</v>
      </c>
    </row>
    <row r="19" customFormat="false" ht="15" hidden="false" customHeight="false" outlineLevel="0" collapsed="false">
      <c r="B19" s="62" t="n">
        <v>1480</v>
      </c>
      <c r="C19" s="60" t="n">
        <f aca="false">ROUNDUP($C$9/(($B19*(1-前提条件!$C$10*前提条件!$C$9)/(1+前提条件!$C$16)-$B19*(1-前提条件!$C$10*前提条件!$C$9)*前提条件!$C$17)*(1-C$18)),0)</f>
        <v>3143</v>
      </c>
      <c r="D19" s="60" t="n">
        <f aca="false">ROUNDUP($C$9/(($B19*(1-前提条件!$C$10*前提条件!$C$9)/(1+前提条件!$C$16)-$B19*(1-前提条件!$C$10*前提条件!$C$9)*前提条件!$C$17)*(1-D$18)),0)</f>
        <v>3384</v>
      </c>
      <c r="E19" s="60" t="n">
        <f aca="false">ROUNDUP($C$9/(($B19*(1-前提条件!$C$10*前提条件!$C$9)/(1+前提条件!$C$16)-$B19*(1-前提条件!$C$10*前提条件!$C$9)*前提条件!$C$17)*(1-E$18)),0)</f>
        <v>3666</v>
      </c>
      <c r="F19" s="60" t="n">
        <f aca="false">ROUNDUP($C$9/(($B19*(1-前提条件!$C$10*前提条件!$C$9)/(1+前提条件!$C$16)-$B19*(1-前提条件!$C$10*前提条件!$C$9)*前提条件!$C$17)*(1-F$18)),0)</f>
        <v>4000</v>
      </c>
      <c r="G19" s="60" t="n">
        <f aca="false">ROUNDUP($C$9/(($B19*(1-前提条件!$C$10*前提条件!$C$9)/(1+前提条件!$C$16)-$B19*(1-前提条件!$C$10*前提条件!$C$9)*前提条件!$C$17)*(1-G$18)),0)</f>
        <v>4400</v>
      </c>
    </row>
    <row r="20" customFormat="false" ht="15" hidden="false" customHeight="false" outlineLevel="0" collapsed="false">
      <c r="B20" s="62" t="n">
        <v>1980</v>
      </c>
      <c r="C20" s="60" t="n">
        <f aca="false">ROUNDUP($C$9/(($B20*(1-前提条件!$C$10*前提条件!$C$9)/(1+前提条件!$C$16)-$B20*(1-前提条件!$C$10*前提条件!$C$9)*前提条件!$C$17)*(1-C$18)),0)</f>
        <v>2349</v>
      </c>
      <c r="D20" s="60" t="n">
        <f aca="false">ROUNDUP($C$9/(($B20*(1-前提条件!$C$10*前提条件!$C$9)/(1+前提条件!$C$16)-$B20*(1-前提条件!$C$10*前提条件!$C$9)*前提条件!$C$17)*(1-D$18)),0)</f>
        <v>2530</v>
      </c>
      <c r="E20" s="60" t="n">
        <f aca="false">ROUNDUP($C$9/(($B20*(1-前提条件!$C$10*前提条件!$C$9)/(1+前提条件!$C$16)-$B20*(1-前提条件!$C$10*前提条件!$C$9)*前提条件!$C$17)*(1-E$18)),0)</f>
        <v>2741</v>
      </c>
      <c r="F20" s="60" t="n">
        <f aca="false">ROUNDUP($C$9/(($B20*(1-前提条件!$C$10*前提条件!$C$9)/(1+前提条件!$C$16)-$B20*(1-前提条件!$C$10*前提条件!$C$9)*前提条件!$C$17)*(1-F$18)),0)</f>
        <v>2990</v>
      </c>
      <c r="G20" s="60" t="n">
        <f aca="false">ROUNDUP($C$9/(($B20*(1-前提条件!$C$10*前提条件!$C$9)/(1+前提条件!$C$16)-$B20*(1-前提条件!$C$10*前提条件!$C$9)*前提条件!$C$17)*(1-G$18)),0)</f>
        <v>3289</v>
      </c>
    </row>
    <row r="21" customFormat="false" ht="15" hidden="false" customHeight="false" outlineLevel="0" collapsed="false">
      <c r="B21" s="62" t="n">
        <v>2480</v>
      </c>
      <c r="C21" s="60" t="n">
        <f aca="false">ROUNDUP($C$9/(($B21*(1-前提条件!$C$10*前提条件!$C$9)/(1+前提条件!$C$16)-$B21*(1-前提条件!$C$10*前提条件!$C$9)*前提条件!$C$17)*(1-C$18)),0)</f>
        <v>1876</v>
      </c>
      <c r="D21" s="60" t="n">
        <f aca="false">ROUNDUP($C$9/(($B21*(1-前提条件!$C$10*前提条件!$C$9)/(1+前提条件!$C$16)-$B21*(1-前提条件!$C$10*前提条件!$C$9)*前提条件!$C$17)*(1-D$18)),0)</f>
        <v>2020</v>
      </c>
      <c r="E21" s="60" t="n">
        <f aca="false">ROUNDUP($C$9/(($B21*(1-前提条件!$C$10*前提条件!$C$9)/(1+前提条件!$C$16)-$B21*(1-前提条件!$C$10*前提条件!$C$9)*前提条件!$C$17)*(1-E$18)),0)</f>
        <v>2188</v>
      </c>
      <c r="F21" s="60" t="n">
        <f aca="false">ROUNDUP($C$9/(($B21*(1-前提条件!$C$10*前提条件!$C$9)/(1+前提条件!$C$16)-$B21*(1-前提条件!$C$10*前提条件!$C$9)*前提条件!$C$17)*(1-F$18)),0)</f>
        <v>2387</v>
      </c>
      <c r="G21" s="60" t="n">
        <f aca="false">ROUNDUP($C$9/(($B21*(1-前提条件!$C$10*前提条件!$C$9)/(1+前提条件!$C$16)-$B21*(1-前提条件!$C$10*前提条件!$C$9)*前提条件!$C$17)*(1-G$18)),0)</f>
        <v>2626</v>
      </c>
    </row>
    <row r="22" customFormat="false" ht="15" hidden="false" customHeight="false" outlineLevel="0" collapsed="false">
      <c r="B22" s="62" t="n">
        <v>2980</v>
      </c>
      <c r="C22" s="60" t="n">
        <f aca="false">ROUNDUP($C$9/(($B22*(1-前提条件!$C$10*前提条件!$C$9)/(1+前提条件!$C$16)-$B22*(1-前提条件!$C$10*前提条件!$C$9)*前提条件!$C$17)*(1-C$18)),0)</f>
        <v>1561</v>
      </c>
      <c r="D22" s="60" t="n">
        <f aca="false">ROUNDUP($C$9/(($B22*(1-前提条件!$C$10*前提条件!$C$9)/(1+前提条件!$C$16)-$B22*(1-前提条件!$C$10*前提条件!$C$9)*前提条件!$C$17)*(1-D$18)),0)</f>
        <v>1681</v>
      </c>
      <c r="E22" s="60" t="n">
        <f aca="false">ROUNDUP($C$9/(($B22*(1-前提条件!$C$10*前提条件!$C$9)/(1+前提条件!$C$16)-$B22*(1-前提条件!$C$10*前提条件!$C$9)*前提条件!$C$17)*(1-E$18)),0)</f>
        <v>1821</v>
      </c>
      <c r="F22" s="60" t="n">
        <f aca="false">ROUNDUP($C$9/(($B22*(1-前提条件!$C$10*前提条件!$C$9)/(1+前提条件!$C$16)-$B22*(1-前提条件!$C$10*前提条件!$C$9)*前提条件!$C$17)*(1-F$18)),0)</f>
        <v>1987</v>
      </c>
      <c r="G22" s="60" t="n">
        <f aca="false">ROUNDUP($C$9/(($B22*(1-前提条件!$C$10*前提条件!$C$9)/(1+前提条件!$C$16)-$B22*(1-前提条件!$C$10*前提条件!$C$9)*前提条件!$C$17)*(1-G$18)),0)</f>
        <v>2185</v>
      </c>
    </row>
    <row r="23" customFormat="false" ht="15" hidden="false" customHeight="false" outlineLevel="0" collapsed="false">
      <c r="B23" s="62" t="n">
        <v>3480</v>
      </c>
      <c r="C23" s="60" t="n">
        <f aca="false">ROUNDUP($C$9/(($B23*(1-前提条件!$C$10*前提条件!$C$9)/(1+前提条件!$C$16)-$B23*(1-前提条件!$C$10*前提条件!$C$9)*前提条件!$C$17)*(1-C$18)),0)</f>
        <v>1337</v>
      </c>
      <c r="D23" s="60" t="n">
        <f aca="false">ROUNDUP($C$9/(($B23*(1-前提条件!$C$10*前提条件!$C$9)/(1+前提条件!$C$16)-$B23*(1-前提条件!$C$10*前提条件!$C$9)*前提条件!$C$17)*(1-D$18)),0)</f>
        <v>1440</v>
      </c>
      <c r="E23" s="60" t="n">
        <f aca="false">ROUNDUP($C$9/(($B23*(1-前提条件!$C$10*前提条件!$C$9)/(1+前提条件!$C$16)-$B23*(1-前提条件!$C$10*前提条件!$C$9)*前提条件!$C$17)*(1-E$18)),0)</f>
        <v>1560</v>
      </c>
      <c r="F23" s="60" t="n">
        <f aca="false">ROUNDUP($C$9/(($B23*(1-前提条件!$C$10*前提条件!$C$9)/(1+前提条件!$C$16)-$B23*(1-前提条件!$C$10*前提条件!$C$9)*前提条件!$C$17)*(1-F$18)),0)</f>
        <v>1701</v>
      </c>
      <c r="G23" s="60" t="n">
        <f aca="false">ROUNDUP($C$9/(($B23*(1-前提条件!$C$10*前提条件!$C$9)/(1+前提条件!$C$16)-$B23*(1-前提条件!$C$10*前提条件!$C$9)*前提条件!$C$17)*(1-G$18)),0)</f>
        <v>1871</v>
      </c>
    </row>
    <row r="24" customFormat="false" ht="15" hidden="false" customHeight="false" outlineLevel="0" collapsed="false">
      <c r="B24" s="24" t="s">
        <v>209</v>
      </c>
    </row>
    <row r="26" customFormat="false" ht="15" hidden="false" customHeight="false" outlineLevel="0" collapsed="false">
      <c r="B26" s="13" t="s">
        <v>210</v>
      </c>
      <c r="C26" s="14"/>
      <c r="D26" s="14"/>
      <c r="E26" s="14"/>
      <c r="F26" s="14"/>
      <c r="G26" s="14"/>
      <c r="H26" s="14"/>
      <c r="I26" s="14"/>
    </row>
    <row r="27" customFormat="false" ht="15" hidden="false" customHeight="false" outlineLevel="0" collapsed="false">
      <c r="B27" s="17" t="s">
        <v>211</v>
      </c>
    </row>
    <row r="28" customFormat="false" ht="15" hidden="false" customHeight="false" outlineLevel="0" collapsed="false">
      <c r="B28" s="47" t="s">
        <v>212</v>
      </c>
      <c r="C28" s="63" t="n">
        <v>10000</v>
      </c>
      <c r="D28" s="63" t="n">
        <v>15000</v>
      </c>
      <c r="E28" s="63" t="n">
        <v>20000</v>
      </c>
      <c r="F28" s="63" t="n">
        <v>30000</v>
      </c>
      <c r="G28" s="63" t="n">
        <v>40000</v>
      </c>
    </row>
    <row r="29" customFormat="false" ht="15" hidden="false" customHeight="false" outlineLevel="0" collapsed="false">
      <c r="B29" s="64" t="n">
        <v>0.02</v>
      </c>
      <c r="C29" s="65" t="n">
        <f aca="false">(単位経済!$E$12/$B29)/C$28</f>
        <v>5.4843642</v>
      </c>
      <c r="D29" s="65" t="n">
        <f aca="false">(単位経済!$E$12/$B29)/D$28</f>
        <v>3.6562428</v>
      </c>
      <c r="E29" s="65" t="n">
        <f aca="false">(単位経済!$E$12/$B29)/E$28</f>
        <v>2.7421821</v>
      </c>
      <c r="F29" s="65" t="n">
        <f aca="false">(単位経済!$E$12/$B29)/F$28</f>
        <v>1.8281214</v>
      </c>
      <c r="G29" s="65" t="n">
        <f aca="false">(単位経済!$E$12/$B29)/G$28</f>
        <v>1.37109105</v>
      </c>
    </row>
    <row r="30" customFormat="false" ht="15" hidden="false" customHeight="false" outlineLevel="0" collapsed="false">
      <c r="B30" s="64" t="n">
        <v>0.025</v>
      </c>
      <c r="C30" s="65" t="n">
        <f aca="false">(単位経済!$E$12/$B30)/C$28</f>
        <v>4.38749136</v>
      </c>
      <c r="D30" s="65" t="n">
        <f aca="false">(単位経済!$E$12/$B30)/D$28</f>
        <v>2.92499424</v>
      </c>
      <c r="E30" s="65" t="n">
        <f aca="false">(単位経済!$E$12/$B30)/E$28</f>
        <v>2.19374568</v>
      </c>
      <c r="F30" s="65" t="n">
        <f aca="false">(単位経済!$E$12/$B30)/F$28</f>
        <v>1.46249712</v>
      </c>
      <c r="G30" s="65" t="n">
        <f aca="false">(単位経済!$E$12/$B30)/G$28</f>
        <v>1.09687284</v>
      </c>
    </row>
    <row r="31" customFormat="false" ht="15" hidden="false" customHeight="false" outlineLevel="0" collapsed="false">
      <c r="B31" s="64" t="n">
        <v>0.03</v>
      </c>
      <c r="C31" s="65" t="n">
        <f aca="false">(単位経済!$E$12/$B31)/C$28</f>
        <v>3.6562428</v>
      </c>
      <c r="D31" s="65" t="n">
        <f aca="false">(単位経済!$E$12/$B31)/D$28</f>
        <v>2.4374952</v>
      </c>
      <c r="E31" s="65" t="n">
        <f aca="false">(単位経済!$E$12/$B31)/E$28</f>
        <v>1.8281214</v>
      </c>
      <c r="F31" s="65" t="n">
        <f aca="false">(単位経済!$E$12/$B31)/F$28</f>
        <v>1.2187476</v>
      </c>
      <c r="G31" s="65" t="n">
        <f aca="false">(単位経済!$E$12/$B31)/G$28</f>
        <v>0.9140607</v>
      </c>
    </row>
    <row r="32" customFormat="false" ht="15" hidden="false" customHeight="false" outlineLevel="0" collapsed="false">
      <c r="B32" s="64" t="n">
        <v>0.04</v>
      </c>
      <c r="C32" s="65" t="n">
        <f aca="false">(単位経済!$E$12/$B32)/C$28</f>
        <v>2.7421821</v>
      </c>
      <c r="D32" s="65" t="n">
        <f aca="false">(単位経済!$E$12/$B32)/D$28</f>
        <v>1.8281214</v>
      </c>
      <c r="E32" s="65" t="n">
        <f aca="false">(単位経済!$E$12/$B32)/E$28</f>
        <v>1.37109105</v>
      </c>
      <c r="F32" s="65" t="n">
        <f aca="false">(単位経済!$E$12/$B32)/F$28</f>
        <v>0.9140607</v>
      </c>
      <c r="G32" s="65" t="n">
        <f aca="false">(単位経済!$E$12/$B32)/G$28</f>
        <v>0.685545525</v>
      </c>
    </row>
    <row r="33" customFormat="false" ht="15" hidden="false" customHeight="false" outlineLevel="0" collapsed="false">
      <c r="B33" s="64" t="n">
        <v>0.05</v>
      </c>
      <c r="C33" s="65" t="n">
        <f aca="false">(単位経済!$E$12/$B33)/C$28</f>
        <v>2.19374568</v>
      </c>
      <c r="D33" s="65" t="n">
        <f aca="false">(単位経済!$E$12/$B33)/D$28</f>
        <v>1.46249712</v>
      </c>
      <c r="E33" s="65" t="n">
        <f aca="false">(単位経済!$E$12/$B33)/E$28</f>
        <v>1.09687284</v>
      </c>
      <c r="F33" s="65" t="n">
        <f aca="false">(単位経済!$E$12/$B33)/F$28</f>
        <v>0.73124856</v>
      </c>
      <c r="G33" s="65" t="n">
        <f aca="false">(単位経済!$E$12/$B33)/G$28</f>
        <v>0.54843642</v>
      </c>
    </row>
    <row r="34" customFormat="false" ht="15" hidden="false" customHeight="false" outlineLevel="0" collapsed="false">
      <c r="B34" s="17" t="s">
        <v>213</v>
      </c>
    </row>
    <row r="36" customFormat="false" ht="15" hidden="false" customHeight="false" outlineLevel="0" collapsed="false">
      <c r="B36" s="13" t="s">
        <v>214</v>
      </c>
      <c r="C36" s="14"/>
      <c r="D36" s="14"/>
      <c r="E36" s="14"/>
      <c r="F36" s="14"/>
      <c r="G36" s="14"/>
      <c r="H36" s="14"/>
      <c r="I36" s="14"/>
    </row>
    <row r="37" customFormat="false" ht="15" hidden="false" customHeight="false" outlineLevel="0" collapsed="false">
      <c r="B37" s="47" t="s">
        <v>215</v>
      </c>
      <c r="C37" s="12" t="s">
        <v>216</v>
      </c>
      <c r="D37" s="12" t="s">
        <v>217</v>
      </c>
      <c r="E37" s="12" t="s">
        <v>218</v>
      </c>
    </row>
    <row r="38" customFormat="false" ht="15" hidden="false" customHeight="false" outlineLevel="0" collapsed="false">
      <c r="B38" s="5" t="s">
        <v>219</v>
      </c>
      <c r="C38" s="46" t="n">
        <v>700000</v>
      </c>
      <c r="D38" s="66" t="n">
        <f aca="false">ROUNDUP(C38/$C$12,0)</f>
        <v>639</v>
      </c>
      <c r="E38" s="17" t="s">
        <v>220</v>
      </c>
    </row>
    <row r="39" customFormat="false" ht="15" hidden="false" customHeight="false" outlineLevel="0" collapsed="false">
      <c r="B39" s="5" t="s">
        <v>221</v>
      </c>
      <c r="C39" s="46" t="n">
        <v>1100000</v>
      </c>
      <c r="D39" s="66" t="n">
        <f aca="false">ROUNDUP(C39/$C$12,0)</f>
        <v>1003</v>
      </c>
      <c r="E39" s="24" t="s">
        <v>222</v>
      </c>
    </row>
    <row r="40" customFormat="false" ht="15" hidden="false" customHeight="false" outlineLevel="0" collapsed="false">
      <c r="B40" s="5" t="s">
        <v>223</v>
      </c>
      <c r="C40" s="46" t="n">
        <v>1900000</v>
      </c>
      <c r="D40" s="66" t="n">
        <f aca="false">ROUNDUP(C40/$C$12,0)</f>
        <v>1733</v>
      </c>
      <c r="E40" s="24" t="s">
        <v>224</v>
      </c>
    </row>
    <row r="41" customFormat="false" ht="15" hidden="false" customHeight="false" outlineLevel="0" collapsed="false">
      <c r="B41" s="5" t="s">
        <v>225</v>
      </c>
      <c r="C41" s="67" t="n">
        <f aca="false">$C$9</f>
        <v>2671700</v>
      </c>
      <c r="D41" s="66" t="n">
        <f aca="false">ROUNDUP(C41/$C$12,0)</f>
        <v>2436</v>
      </c>
      <c r="E41" s="24" t="s">
        <v>226</v>
      </c>
    </row>
    <row r="42" customFormat="false" ht="15" hidden="false" customHeight="false" outlineLevel="0" collapsed="false">
      <c r="B42" s="5" t="s">
        <v>227</v>
      </c>
      <c r="C42" s="46" t="n">
        <v>4500000</v>
      </c>
      <c r="D42" s="66" t="n">
        <f aca="false">ROUNDUP(C42/$C$12,0)</f>
        <v>4103</v>
      </c>
      <c r="E42" s="24" t="s">
        <v>228</v>
      </c>
    </row>
    <row r="44" customFormat="false" ht="15" hidden="false" customHeight="false" outlineLevel="0" collapsed="false">
      <c r="B44" s="3" t="s">
        <v>229</v>
      </c>
    </row>
    <row r="45" customFormat="false" ht="15" hidden="false" customHeight="false" outlineLevel="0" collapsed="false">
      <c r="B45" s="17" t="s">
        <v>230</v>
      </c>
    </row>
    <row r="46" customFormat="false" ht="15" hidden="false" customHeight="false" outlineLevel="0" collapsed="false">
      <c r="B46" s="17" t="s">
        <v>231</v>
      </c>
    </row>
    <row r="47" customFormat="false" ht="15" hidden="false" customHeight="false" outlineLevel="0" collapsed="false">
      <c r="B47" s="17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7" min="3" style="0" width="15"/>
    <col collapsed="false" customWidth="true" hidden="false" outlineLevel="0" max="8" min="8" style="0" width="40"/>
  </cols>
  <sheetData>
    <row r="2" customFormat="false" ht="19.4" hidden="false" customHeight="false" outlineLevel="0" collapsed="false">
      <c r="B2" s="10" t="s">
        <v>233</v>
      </c>
    </row>
    <row r="3" customFormat="false" ht="15" hidden="false" customHeight="false" outlineLevel="0" collapsed="false">
      <c r="B3" s="2" t="s">
        <v>234</v>
      </c>
    </row>
    <row r="5" customFormat="false" ht="15" hidden="false" customHeight="false" outlineLevel="0" collapsed="false">
      <c r="B5" s="68" t="s">
        <v>235</v>
      </c>
      <c r="C5" s="68" t="s">
        <v>236</v>
      </c>
      <c r="D5" s="68" t="s">
        <v>237</v>
      </c>
      <c r="E5" s="69" t="s">
        <v>238</v>
      </c>
      <c r="F5" s="68" t="s">
        <v>239</v>
      </c>
      <c r="G5" s="68" t="s">
        <v>240</v>
      </c>
      <c r="H5" s="68" t="s">
        <v>43</v>
      </c>
    </row>
    <row r="6" customFormat="false" ht="15" hidden="false" customHeight="false" outlineLevel="0" collapsed="false">
      <c r="B6" s="13" t="s">
        <v>241</v>
      </c>
      <c r="C6" s="70" t="n">
        <f aca="false">前提条件!$C$7</f>
        <v>1980</v>
      </c>
      <c r="D6" s="71" t="n">
        <v>0</v>
      </c>
      <c r="E6" s="72" t="n">
        <f aca="false">C6*36+D6</f>
        <v>71280</v>
      </c>
      <c r="F6" s="72" t="n">
        <f aca="false">E6-$E$6</f>
        <v>0</v>
      </c>
      <c r="G6" s="73" t="s">
        <v>242</v>
      </c>
      <c r="H6" s="74" t="s">
        <v>243</v>
      </c>
    </row>
    <row r="7" customFormat="false" ht="15" hidden="false" customHeight="false" outlineLevel="0" collapsed="false">
      <c r="B7" s="13" t="s">
        <v>244</v>
      </c>
      <c r="C7" s="70" t="n">
        <f aca="false">前提条件!$C$8</f>
        <v>4980</v>
      </c>
      <c r="D7" s="71" t="n">
        <v>0</v>
      </c>
      <c r="E7" s="72" t="n">
        <f aca="false">C7*36+D7</f>
        <v>179280</v>
      </c>
      <c r="F7" s="72" t="n">
        <f aca="false">E7-$E$6</f>
        <v>108000</v>
      </c>
      <c r="G7" s="73" t="s">
        <v>242</v>
      </c>
      <c r="H7" s="74" t="s">
        <v>245</v>
      </c>
    </row>
    <row r="8" customFormat="false" ht="15" hidden="false" customHeight="false" outlineLevel="0" collapsed="false">
      <c r="B8" s="6" t="s">
        <v>246</v>
      </c>
      <c r="C8" s="46" t="n">
        <v>6600</v>
      </c>
      <c r="D8" s="46" t="n">
        <v>22000</v>
      </c>
      <c r="E8" s="32" t="n">
        <f aca="false">C8*36+D8</f>
        <v>259600</v>
      </c>
      <c r="F8" s="32" t="n">
        <f aca="false">E8-$E$6</f>
        <v>188320</v>
      </c>
      <c r="G8" s="5" t="s">
        <v>247</v>
      </c>
      <c r="H8" s="17" t="s">
        <v>248</v>
      </c>
    </row>
    <row r="9" customFormat="false" ht="15" hidden="false" customHeight="false" outlineLevel="0" collapsed="false">
      <c r="B9" s="6" t="s">
        <v>249</v>
      </c>
      <c r="C9" s="46" t="n">
        <v>3278</v>
      </c>
      <c r="D9" s="46" t="n">
        <v>3300</v>
      </c>
      <c r="E9" s="32" t="n">
        <f aca="false">C9*36+D9</f>
        <v>121308</v>
      </c>
      <c r="F9" s="32" t="n">
        <f aca="false">E9-$E$6</f>
        <v>50028</v>
      </c>
      <c r="G9" s="5" t="s">
        <v>247</v>
      </c>
      <c r="H9" s="24" t="s">
        <v>250</v>
      </c>
    </row>
    <row r="10" customFormat="false" ht="15" hidden="false" customHeight="false" outlineLevel="0" collapsed="false">
      <c r="B10" s="6" t="s">
        <v>251</v>
      </c>
      <c r="C10" s="46" t="n">
        <v>3300</v>
      </c>
      <c r="D10" s="46" t="n">
        <v>0</v>
      </c>
      <c r="E10" s="32" t="n">
        <f aca="false">C10*36+D10</f>
        <v>118800</v>
      </c>
      <c r="F10" s="32" t="n">
        <f aca="false">E10-$E$6</f>
        <v>47520</v>
      </c>
      <c r="G10" s="5" t="s">
        <v>247</v>
      </c>
      <c r="H10" s="17" t="s">
        <v>252</v>
      </c>
    </row>
    <row r="11" customFormat="false" ht="15" hidden="false" customHeight="false" outlineLevel="0" collapsed="false">
      <c r="B11" s="5" t="s">
        <v>253</v>
      </c>
      <c r="C11" s="46" t="n">
        <v>2068</v>
      </c>
      <c r="D11" s="46" t="n">
        <v>0</v>
      </c>
      <c r="E11" s="32" t="n">
        <f aca="false">C11*36+D11</f>
        <v>74448</v>
      </c>
      <c r="F11" s="32" t="n">
        <f aca="false">E11-$E$6</f>
        <v>3168</v>
      </c>
      <c r="G11" s="5" t="s">
        <v>247</v>
      </c>
      <c r="H11" s="24" t="s">
        <v>254</v>
      </c>
    </row>
    <row r="12" customFormat="false" ht="15" hidden="false" customHeight="false" outlineLevel="0" collapsed="false">
      <c r="B12" s="6" t="s">
        <v>255</v>
      </c>
      <c r="C12" s="46" t="n">
        <v>2200</v>
      </c>
      <c r="D12" s="46" t="n">
        <v>0</v>
      </c>
      <c r="E12" s="32" t="n">
        <f aca="false">C12*36+D12</f>
        <v>79200</v>
      </c>
      <c r="F12" s="32" t="n">
        <f aca="false">E12-$E$6</f>
        <v>7920</v>
      </c>
      <c r="G12" s="5" t="s">
        <v>247</v>
      </c>
      <c r="H12" s="17" t="s">
        <v>256</v>
      </c>
    </row>
    <row r="13" customFormat="false" ht="15" hidden="false" customHeight="false" outlineLevel="0" collapsed="false">
      <c r="B13" s="6" t="s">
        <v>257</v>
      </c>
      <c r="C13" s="46" t="n">
        <v>1078</v>
      </c>
      <c r="D13" s="46" t="n">
        <v>0</v>
      </c>
      <c r="E13" s="32" t="n">
        <f aca="false">C13*36+D13</f>
        <v>38808</v>
      </c>
      <c r="F13" s="32" t="n">
        <f aca="false">E13-$E$6</f>
        <v>-32472</v>
      </c>
      <c r="G13" s="5" t="s">
        <v>258</v>
      </c>
      <c r="H13" s="17" t="s">
        <v>259</v>
      </c>
    </row>
    <row r="14" customFormat="false" ht="15" hidden="false" customHeight="false" outlineLevel="0" collapsed="false">
      <c r="B14" s="6" t="s">
        <v>260</v>
      </c>
      <c r="C14" s="46" t="n">
        <v>1089</v>
      </c>
      <c r="D14" s="46" t="n">
        <v>0</v>
      </c>
      <c r="E14" s="32" t="n">
        <f aca="false">C14*36+D14</f>
        <v>39204</v>
      </c>
      <c r="F14" s="32" t="n">
        <f aca="false">E14-$E$6</f>
        <v>-32076</v>
      </c>
      <c r="G14" s="5" t="s">
        <v>261</v>
      </c>
      <c r="H14" s="17" t="s">
        <v>262</v>
      </c>
    </row>
    <row r="15" customFormat="false" ht="15" hidden="false" customHeight="false" outlineLevel="0" collapsed="false">
      <c r="B15" s="5" t="s">
        <v>263</v>
      </c>
      <c r="C15" s="46" t="n">
        <v>690</v>
      </c>
      <c r="D15" s="46" t="n">
        <v>4000</v>
      </c>
      <c r="E15" s="32" t="n">
        <f aca="false">C15*36+D15</f>
        <v>28840</v>
      </c>
      <c r="F15" s="32" t="n">
        <f aca="false">E15-$E$6</f>
        <v>-42440</v>
      </c>
      <c r="G15" s="5" t="s">
        <v>258</v>
      </c>
      <c r="H15" s="17" t="s">
        <v>264</v>
      </c>
    </row>
    <row r="16" customFormat="false" ht="15" hidden="false" customHeight="false" outlineLevel="0" collapsed="false">
      <c r="B16" s="6" t="s">
        <v>265</v>
      </c>
      <c r="C16" s="46" t="n">
        <v>550</v>
      </c>
      <c r="D16" s="46" t="n">
        <v>0</v>
      </c>
      <c r="E16" s="32" t="n">
        <f aca="false">C16*36+D16</f>
        <v>19800</v>
      </c>
      <c r="F16" s="32" t="n">
        <f aca="false">E16-$E$6</f>
        <v>-51480</v>
      </c>
      <c r="G16" s="5" t="s">
        <v>258</v>
      </c>
      <c r="H16" s="17" t="s">
        <v>266</v>
      </c>
    </row>
    <row r="17" customFormat="false" ht="15" hidden="false" customHeight="false" outlineLevel="0" collapsed="false">
      <c r="B17" s="17" t="s">
        <v>267</v>
      </c>
    </row>
    <row r="18" customFormat="false" ht="15" hidden="false" customHeight="false" outlineLevel="0" collapsed="false">
      <c r="B18" s="24" t="s">
        <v>268</v>
      </c>
    </row>
    <row r="20" customFormat="false" ht="15" hidden="false" customHeight="false" outlineLevel="0" collapsed="false">
      <c r="B20" s="36" t="s">
        <v>269</v>
      </c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B21" s="24" t="s">
        <v>270</v>
      </c>
    </row>
    <row r="22" customFormat="false" ht="15" hidden="false" customHeight="false" outlineLevel="0" collapsed="false">
      <c r="B22" s="5" t="s">
        <v>271</v>
      </c>
      <c r="C22" s="15" t="n">
        <v>500</v>
      </c>
      <c r="H22" s="17" t="s">
        <v>272</v>
      </c>
    </row>
    <row r="23" customFormat="false" ht="15" hidden="false" customHeight="false" outlineLevel="0" collapsed="false">
      <c r="B23" s="5" t="s">
        <v>273</v>
      </c>
      <c r="C23" s="32" t="n">
        <f aca="false">E8/36+C22</f>
        <v>7711.11111111111</v>
      </c>
      <c r="H23" s="24" t="s">
        <v>274</v>
      </c>
    </row>
    <row r="24" customFormat="false" ht="15" hidden="false" customHeight="false" outlineLevel="0" collapsed="false">
      <c r="B24" s="6" t="s">
        <v>275</v>
      </c>
      <c r="C24" s="67" t="n">
        <f aca="false">前提条件!$C$7</f>
        <v>1980</v>
      </c>
      <c r="H24" s="17" t="s">
        <v>276</v>
      </c>
    </row>
    <row r="25" customFormat="false" ht="15" hidden="false" customHeight="false" outlineLevel="0" collapsed="false">
      <c r="B25" s="3" t="s">
        <v>277</v>
      </c>
      <c r="C25" s="58" t="n">
        <f aca="false">C23-C24</f>
        <v>5731.11111111111</v>
      </c>
    </row>
    <row r="27" customFormat="false" ht="15" hidden="false" customHeight="false" outlineLevel="0" collapsed="false">
      <c r="B27" s="3" t="s">
        <v>278</v>
      </c>
    </row>
    <row r="28" customFormat="false" ht="15" hidden="false" customHeight="false" outlineLevel="0" collapsed="false">
      <c r="B28" s="17" t="s">
        <v>279</v>
      </c>
    </row>
    <row r="29" customFormat="false" ht="15" hidden="false" customHeight="false" outlineLevel="0" collapsed="false">
      <c r="B29" s="17" t="s">
        <v>280</v>
      </c>
    </row>
    <row r="30" customFormat="false" ht="15" hidden="false" customHeight="false" outlineLevel="0" collapsed="false">
      <c r="B30" s="17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2026-08-11T23:52:59Z</dcterms:created>
  <dc:creator>openpyxl</dc:creator>
  <dc:description/>
  <dc:language>en-US</dc:language>
  <cp:lastModifiedBy/>
  <dcterms:modified xsi:type="dcterms:W3CDTF">2026-08-11T23:52:59Z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